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2" codeName="{E5D1E7B1-6628-F0F0-D09B-76B25B5F3CD3}"/>
  <workbookPr codeName="ThisWorkbook" hidePivotFieldList="1" defaultThemeVersion="124226"/>
  <mc:AlternateContent xmlns:mc="http://schemas.openxmlformats.org/markup-compatibility/2006">
    <mc:Choice Requires="x15">
      <x15ac:absPath xmlns:x15ac="http://schemas.microsoft.com/office/spreadsheetml/2010/11/ac" url="/Users/davidg/Desktop/OllamaExcel/"/>
    </mc:Choice>
  </mc:AlternateContent>
  <xr:revisionPtr revIDLastSave="0" documentId="13_ncr:1_{A83EB074-12F9-2E43-B9EB-2D61D9447850}" xr6:coauthVersionLast="47" xr6:coauthVersionMax="47" xr10:uidLastSave="{00000000-0000-0000-0000-000000000000}"/>
  <bookViews>
    <workbookView xWindow="6400" yWindow="4020" windowWidth="19200" windowHeight="10560" xr2:uid="{00000000-000D-0000-FFFF-FFFF00000000}"/>
  </bookViews>
  <sheets>
    <sheet name="Sheet1" sheetId="8" r:id="rId1"/>
    <sheet name="Reviews" sheetId="2" r:id="rId2"/>
    <sheet name="App Reviews" sheetId="3" r:id="rId3"/>
    <sheet name="App Review Charts" sheetId="9" r:id="rId4"/>
    <sheet name="README" sheetId="12" r:id="rId5"/>
    <sheet name="Speed" sheetId="5" state="hidden" r:id="rId6"/>
    <sheet name="Functionality" sheetId="6" state="hidden" r:id="rId7"/>
    <sheet name="Stability" sheetId="7" state="hidden" r:id="rId8"/>
  </sheets>
  <functionGroups builtInGroupCount="19"/>
  <definedNames>
    <definedName name="_xleta.AND" hidden="1" xlm="1">#NAME?</definedName>
    <definedName name="_xleta.N" hidden="1" xlm="1">#NAME?</definedName>
    <definedName name="_xleta.NOT" hidden="1" xlm="1">#NAME?</definedName>
    <definedName name="_xleta.RATE" hidden="1" xlm="1">#NAME?</definedName>
    <definedName name="_xleta.T" hidden="1" xlm="1">#NAME?</definedName>
    <definedName name="_xleta.VALUE" hidden="1" xlm="1">#NAME?</definedName>
    <definedName name="_xlpm.category" hidden="1" xlm="1">#NAME?</definedName>
    <definedName name="_xlpm.detractors" hidden="1" xlm="1">#NAME?</definedName>
    <definedName name="_xlpm.promoters" hidden="1" xlm="1">#NAME?</definedName>
    <definedName name="_xlpm.reviewCell" hidden="1" xlm="1">#NAME?</definedName>
    <definedName name="_xlpm.scores" hidden="1" xlm="1">#NAME?</definedName>
    <definedName name="_xlpm.total" hidden="1" xlm="1">#NAME?</definedName>
    <definedName name="_xlpm.values" hidden="1" xlm="1">#NAME?</definedName>
    <definedName name="Slicer_Source">#N/A</definedName>
  </definedNames>
  <calcPr calcId="191029"/>
  <pivotCaches>
    <pivotCache cacheId="0" r:id="rId9"/>
  </pivotCaches>
  <extLst>
    <ext xmlns:x14="http://schemas.microsoft.com/office/spreadsheetml/2009/9/main" uri="{BBE1A952-AA13-448e-AADC-164F8A28A991}">
      <x14:slicerCaches>
        <x14:slicerCache r:id="rId10"/>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6" i="12" l="1"/>
  <c r="A27" i="12"/>
  <c r="A28" i="12"/>
  <c r="A25" i="12"/>
  <c r="B2" i="2" a="1"/>
  <c r="B2" i="2" l="1"/>
  <c r="B3" i="2" a="1"/>
  <c r="B3" i="2" l="1"/>
  <c r="B5" i="2" a="1"/>
  <c r="B4" i="2" a="1"/>
  <c r="B6" i="2" a="1"/>
  <c r="B7" i="2" a="1"/>
  <c r="B8" i="2" a="1"/>
  <c r="B8" i="2" l="1"/>
  <c r="B7" i="2"/>
  <c r="B6" i="2"/>
  <c r="B5" i="2"/>
  <c r="B4" i="2"/>
  <c r="A2" i="3"/>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G21" i="3" a="1"/>
  <c r="E86" i="3" a="1"/>
  <c r="G12" i="3" a="1"/>
  <c r="E20" i="3" a="1"/>
  <c r="G9" i="3" a="1"/>
  <c r="F100" i="3" a="1"/>
  <c r="G80" i="3" a="1"/>
  <c r="F59" i="3" a="1"/>
  <c r="G46" i="3" a="1"/>
  <c r="F40" i="3" a="1"/>
  <c r="G14" i="3" a="1"/>
  <c r="F81" i="3" a="1"/>
  <c r="E84" i="3" a="1"/>
  <c r="F53" i="3" a="1"/>
  <c r="E37" i="3" a="1"/>
  <c r="F2" i="3" a="1"/>
  <c r="E63" i="3" a="1"/>
  <c r="F15" i="3" a="1"/>
  <c r="E23" i="3" a="1"/>
  <c r="F86" i="3" a="1"/>
  <c r="E65" i="3" a="1"/>
  <c r="G19" i="3" a="1"/>
  <c r="E91" i="3" a="1"/>
  <c r="G3" i="3" a="1"/>
  <c r="E80" i="3" a="1"/>
  <c r="E95" i="3" a="1"/>
  <c r="E92" i="3" a="1"/>
  <c r="G22" i="3" a="1"/>
  <c r="G89" i="3" a="1"/>
  <c r="F73" i="3" a="1"/>
  <c r="G82" i="3" a="1"/>
  <c r="G86" i="3" a="1"/>
  <c r="F77" i="3" a="1"/>
  <c r="G11" i="3" a="1"/>
  <c r="F85" i="3" a="1"/>
  <c r="F74" i="3" a="1"/>
  <c r="E29" i="3" a="1"/>
  <c r="F10" i="3" a="1"/>
  <c r="E43" i="3" a="1"/>
  <c r="F12" i="3" a="1"/>
  <c r="F26" i="3" a="1"/>
  <c r="E93" i="3" a="1"/>
  <c r="G17" i="3" a="1"/>
  <c r="E77" i="3" a="1"/>
  <c r="E15" i="3" a="1"/>
  <c r="G59" i="3" a="1"/>
  <c r="G36" i="3" a="1"/>
  <c r="E26" i="3" a="1"/>
  <c r="F23" i="3" a="1"/>
  <c r="F16" i="3" a="1"/>
  <c r="F91" i="3" a="1"/>
  <c r="F93" i="3" a="1"/>
  <c r="F71" i="3" a="1"/>
  <c r="F24" i="3" a="1"/>
  <c r="F21" i="3" a="1"/>
  <c r="F98" i="3" a="1"/>
  <c r="G25" i="3" a="1"/>
  <c r="F43" i="3" a="1"/>
  <c r="F29" i="3" a="1"/>
  <c r="F9" i="3" a="1"/>
  <c r="F63" i="3" a="1"/>
  <c r="E61" i="3" a="1"/>
  <c r="E27" i="3" a="1"/>
  <c r="E25" i="3" a="1"/>
  <c r="G44" i="3" a="1"/>
  <c r="E24" i="3" a="1"/>
  <c r="G79" i="3" a="1"/>
  <c r="G73" i="3" a="1"/>
  <c r="G33" i="3" a="1"/>
  <c r="G66" i="3" a="1"/>
  <c r="G50" i="3" a="1"/>
  <c r="E51" i="3" a="1"/>
  <c r="F50" i="3" a="1"/>
  <c r="F79" i="3" a="1"/>
  <c r="F101" i="3" a="1"/>
  <c r="E89" i="3" a="1"/>
  <c r="F94" i="3" a="1"/>
  <c r="G6" i="3" a="1"/>
  <c r="G45" i="3" a="1"/>
  <c r="G31" i="3" a="1"/>
  <c r="E83" i="3" a="1"/>
  <c r="G88" i="3" a="1"/>
  <c r="G81" i="3" a="1"/>
  <c r="G35" i="3" a="1"/>
  <c r="G39" i="3" a="1"/>
  <c r="F25" i="3" a="1"/>
  <c r="F60" i="3" a="1"/>
  <c r="E64" i="3" a="1"/>
  <c r="E85" i="3" a="1"/>
  <c r="E18" i="3" a="1"/>
  <c r="G15" i="3" a="1"/>
  <c r="G7" i="3" a="1"/>
  <c r="G18" i="3" a="1"/>
  <c r="G20" i="3" a="1"/>
  <c r="E7" i="3" a="1"/>
  <c r="E55" i="3" a="1"/>
  <c r="G32" i="3" a="1"/>
  <c r="E35" i="3" a="1"/>
  <c r="E101" i="3" a="1"/>
  <c r="E9" i="3" a="1"/>
  <c r="F7" i="3" a="1"/>
  <c r="G92" i="3" a="1"/>
  <c r="G51" i="3" a="1"/>
  <c r="E82" i="3" a="1"/>
  <c r="F22" i="3" a="1"/>
  <c r="F48" i="3" a="1"/>
  <c r="E10" i="3" a="1"/>
  <c r="G64" i="3" a="1"/>
  <c r="E71" i="3" a="1"/>
  <c r="E75" i="3" a="1"/>
  <c r="E22" i="3" a="1"/>
  <c r="E38" i="3" a="1"/>
  <c r="F6" i="3" a="1"/>
  <c r="F87" i="3" a="1"/>
  <c r="F66" i="3" a="1"/>
  <c r="E99" i="3" a="1"/>
  <c r="G48" i="3" a="1"/>
  <c r="G100" i="3" a="1"/>
  <c r="F45" i="3" a="1"/>
  <c r="E30" i="3" a="1"/>
  <c r="G90" i="3" a="1"/>
  <c r="E94" i="3" a="1"/>
  <c r="G56" i="3" a="1"/>
  <c r="G4" i="3" a="1"/>
  <c r="F97" i="3" a="1"/>
  <c r="F36" i="3" a="1"/>
  <c r="G43" i="3" a="1"/>
  <c r="F38" i="3" a="1"/>
  <c r="E34" i="3" a="1"/>
  <c r="G61" i="3" a="1"/>
  <c r="E21" i="3" a="1"/>
  <c r="G57" i="3" a="1"/>
  <c r="E98" i="3" a="1"/>
  <c r="G34" i="3" a="1"/>
  <c r="G69" i="3" a="1"/>
  <c r="G27" i="3" a="1"/>
  <c r="F95" i="3" a="1"/>
  <c r="G38" i="3" a="1"/>
  <c r="F32" i="3" a="1"/>
  <c r="F42" i="3" a="1"/>
  <c r="F34" i="3" a="1"/>
  <c r="F76" i="3" a="1"/>
  <c r="E33" i="3" a="1"/>
  <c r="E41" i="3" a="1"/>
  <c r="F47" i="3" a="1"/>
  <c r="F4" i="3" a="1"/>
  <c r="F52" i="3" a="1"/>
  <c r="E12" i="3" a="1"/>
  <c r="E70" i="3" a="1"/>
  <c r="E60" i="3" a="1"/>
  <c r="E67" i="3" a="1"/>
  <c r="G70" i="3" a="1"/>
  <c r="G37" i="3" a="1"/>
  <c r="E56" i="3" a="1"/>
  <c r="F78" i="3" a="1"/>
  <c r="E6" i="3" a="1"/>
  <c r="E72" i="3" a="1"/>
  <c r="E39" i="3" a="1"/>
  <c r="E87" i="3" a="1"/>
  <c r="E44" i="3" a="1"/>
  <c r="G29" i="3" a="1"/>
  <c r="E5" i="3" a="1"/>
  <c r="G16" i="3" a="1"/>
  <c r="G55" i="3" a="1"/>
  <c r="F58" i="3" a="1"/>
  <c r="E36" i="3" a="1"/>
  <c r="F44" i="3" a="1"/>
  <c r="E52" i="3" a="1"/>
  <c r="G77" i="3" a="1"/>
  <c r="E42" i="3" a="1"/>
  <c r="G54" i="3" a="1"/>
  <c r="E32" i="3" a="1"/>
  <c r="G47" i="3" a="1"/>
  <c r="E68" i="3" a="1"/>
  <c r="G52" i="3" a="1"/>
  <c r="F61" i="3" a="1"/>
  <c r="G30" i="3" a="1"/>
  <c r="F3" i="3" a="1"/>
  <c r="G26" i="3" a="1"/>
  <c r="F99" i="3" a="1"/>
  <c r="F83" i="3" a="1"/>
  <c r="F33" i="3" a="1"/>
  <c r="E54" i="3" a="1"/>
  <c r="G75" i="3" a="1"/>
  <c r="G72" i="3" a="1"/>
  <c r="G98" i="3" a="1"/>
  <c r="G84" i="3" a="1"/>
  <c r="E4" i="3" a="1"/>
  <c r="F13" i="3" a="1"/>
  <c r="G95" i="3" a="1"/>
  <c r="G76" i="3" a="1"/>
  <c r="G93" i="3" a="1"/>
  <c r="E40" i="3" a="1"/>
  <c r="F39" i="3" a="1"/>
  <c r="G63" i="3" a="1"/>
  <c r="G67" i="3" a="1"/>
  <c r="F57" i="3" a="1"/>
  <c r="G97" i="3" a="1"/>
  <c r="G96" i="3" a="1"/>
  <c r="E78" i="3" a="1"/>
  <c r="F65" i="3" a="1"/>
  <c r="F28" i="3" a="1"/>
  <c r="F20" i="3" a="1"/>
  <c r="G60" i="3" a="1"/>
  <c r="G41" i="3" a="1"/>
  <c r="F84" i="3" a="1"/>
  <c r="F51" i="3" a="1"/>
  <c r="F88" i="3" a="1"/>
  <c r="F19" i="3" a="1"/>
  <c r="G68" i="3" a="1"/>
  <c r="F11" i="3" a="1"/>
  <c r="E97" i="3" a="1"/>
  <c r="F31" i="3" a="1"/>
  <c r="E16" i="3" a="1"/>
  <c r="F56" i="3" a="1"/>
  <c r="E58" i="3" a="1"/>
  <c r="G23" i="3" a="1"/>
  <c r="G62" i="3" a="1"/>
  <c r="F64" i="3" a="1"/>
  <c r="G53" i="3" a="1"/>
  <c r="F37" i="3" a="1"/>
  <c r="G2" i="3" a="1"/>
  <c r="F69" i="3" a="1"/>
  <c r="E48" i="3" a="1"/>
  <c r="F17" i="3" a="1"/>
  <c r="E90" i="3" a="1"/>
  <c r="F92" i="3" a="1"/>
  <c r="E3" i="3" a="1"/>
  <c r="F62" i="3" a="1"/>
  <c r="E100" i="3" a="1"/>
  <c r="G24" i="3" a="1"/>
  <c r="E96" i="3" a="1"/>
  <c r="G13" i="3" a="1"/>
  <c r="E50" i="3" a="1"/>
  <c r="F8" i="3" a="1"/>
  <c r="E69" i="3" a="1"/>
  <c r="G58" i="3" a="1"/>
  <c r="E17" i="3" a="1"/>
  <c r="G65" i="3" a="1"/>
  <c r="E2" i="3" a="1"/>
  <c r="G49" i="3" a="1"/>
  <c r="F46" i="3" a="1"/>
  <c r="G99" i="3" a="1"/>
  <c r="F72" i="3" a="1"/>
  <c r="G85" i="3" a="1"/>
  <c r="F82" i="3" a="1"/>
  <c r="G74" i="3" a="1"/>
  <c r="F41" i="3" a="1"/>
  <c r="F18" i="3" a="1"/>
  <c r="F49" i="3" a="1"/>
  <c r="E28" i="3" a="1"/>
  <c r="F30" i="3" a="1"/>
  <c r="E53" i="3" a="1"/>
  <c r="F35" i="3" a="1"/>
  <c r="E19" i="3" a="1"/>
  <c r="G5" i="3" a="1"/>
  <c r="E57" i="3" a="1"/>
  <c r="G28" i="3" a="1"/>
  <c r="E76" i="3" a="1"/>
  <c r="F80" i="3" a="1"/>
  <c r="E47" i="3" a="1"/>
  <c r="G78" i="3" a="1"/>
  <c r="E49" i="3" a="1"/>
  <c r="G91" i="3" a="1"/>
  <c r="E74" i="3" a="1"/>
  <c r="G87" i="3" a="1"/>
  <c r="F54" i="3" a="1"/>
  <c r="F75" i="3" a="1"/>
  <c r="E79" i="3" a="1"/>
  <c r="E46" i="3" a="1"/>
  <c r="E11" i="3" a="1"/>
  <c r="E13" i="3" a="1"/>
  <c r="E73" i="3" a="1"/>
  <c r="E81" i="3" a="1"/>
  <c r="E59" i="3" a="1"/>
  <c r="E8" i="3" a="1"/>
  <c r="F5" i="3" a="1"/>
  <c r="E88" i="3" a="1"/>
  <c r="E62" i="3" a="1"/>
  <c r="G101" i="3" a="1"/>
  <c r="E14" i="3" a="1"/>
  <c r="G10" i="3" a="1"/>
  <c r="F90" i="3" a="1"/>
  <c r="G71" i="3" a="1"/>
  <c r="F55" i="3" a="1"/>
  <c r="G8" i="3" a="1"/>
  <c r="E66" i="3" a="1"/>
  <c r="F27" i="3" a="1"/>
  <c r="F67" i="3" a="1"/>
  <c r="F68" i="3" a="1"/>
  <c r="G42" i="3" a="1"/>
  <c r="F89" i="3" a="1"/>
  <c r="F14" i="3" a="1"/>
  <c r="G94" i="3" a="1"/>
  <c r="G83" i="3" a="1"/>
  <c r="G40" i="3" a="1"/>
  <c r="F70" i="3" a="1"/>
  <c r="E45" i="3" a="1"/>
  <c r="E31" i="3" a="1"/>
  <c r="F96" i="3" a="1"/>
  <c r="D2" i="2" a="1"/>
  <c r="D3" i="2" a="1"/>
  <c r="D8" i="2" a="1"/>
  <c r="D4" i="2" a="1"/>
  <c r="C3" i="2" a="1"/>
  <c r="C8" i="2" a="1"/>
  <c r="C7" i="2" a="1"/>
  <c r="D7" i="2" a="1"/>
  <c r="D6" i="2" a="1"/>
  <c r="D5" i="2" a="1"/>
  <c r="C4" i="2" a="1"/>
  <c r="C2" i="2" a="1"/>
  <c r="C6" i="2" a="1"/>
  <c r="C5" i="2" a="1"/>
  <c r="G5" i="3" l="1"/>
  <c r="J5" i="3" s="1"/>
  <c r="G4" i="3"/>
  <c r="J4" i="3" s="1"/>
  <c r="G97" i="3"/>
  <c r="G79" i="3"/>
  <c r="J79" i="3" s="1"/>
  <c r="G61" i="3"/>
  <c r="J61" i="3" s="1"/>
  <c r="G43" i="3"/>
  <c r="J43" i="3" s="1"/>
  <c r="G25" i="3"/>
  <c r="J25" i="3" s="1"/>
  <c r="G19" i="3"/>
  <c r="J19" i="3" s="1"/>
  <c r="G96" i="3"/>
  <c r="J96" i="3" s="1"/>
  <c r="G78" i="3"/>
  <c r="J78" i="3" s="1"/>
  <c r="G60" i="3"/>
  <c r="J60" i="3" s="1"/>
  <c r="G42" i="3"/>
  <c r="J42" i="3" s="1"/>
  <c r="G24" i="3"/>
  <c r="J24" i="3" s="1"/>
  <c r="G6" i="3"/>
  <c r="J6" i="3" s="1"/>
  <c r="G95" i="3"/>
  <c r="G77" i="3"/>
  <c r="J77" i="3" s="1"/>
  <c r="G59" i="3"/>
  <c r="J59" i="3" s="1"/>
  <c r="G35" i="3"/>
  <c r="G17" i="3"/>
  <c r="J17" i="3" s="1"/>
  <c r="G94" i="3"/>
  <c r="J94" i="3" s="1"/>
  <c r="G76" i="3"/>
  <c r="J76" i="3" s="1"/>
  <c r="G58" i="3"/>
  <c r="J58" i="3" s="1"/>
  <c r="G40" i="3"/>
  <c r="J40" i="3" s="1"/>
  <c r="G28" i="3"/>
  <c r="J28" i="3" s="1"/>
  <c r="G16" i="3"/>
  <c r="G93" i="3"/>
  <c r="G75" i="3"/>
  <c r="G57" i="3"/>
  <c r="J57" i="3" s="1"/>
  <c r="G39" i="3"/>
  <c r="J39" i="3" s="1"/>
  <c r="G21" i="3"/>
  <c r="J21" i="3" s="1"/>
  <c r="G3" i="3"/>
  <c r="J3" i="3" s="1"/>
  <c r="G91" i="3"/>
  <c r="J91" i="3" s="1"/>
  <c r="G73" i="3"/>
  <c r="J73" i="3" s="1"/>
  <c r="G55" i="3"/>
  <c r="J55" i="3" s="1"/>
  <c r="G37" i="3"/>
  <c r="J37" i="3" s="1"/>
  <c r="G13" i="3"/>
  <c r="J13" i="3" s="1"/>
  <c r="G90" i="3"/>
  <c r="J90" i="3" s="1"/>
  <c r="G72" i="3"/>
  <c r="G54" i="3"/>
  <c r="G36" i="3"/>
  <c r="J36" i="3" s="1"/>
  <c r="G12" i="3"/>
  <c r="G101" i="3"/>
  <c r="J101" i="3" s="1"/>
  <c r="G83" i="3"/>
  <c r="J83" i="3" s="1"/>
  <c r="G65" i="3"/>
  <c r="J65" i="3" s="1"/>
  <c r="G47" i="3"/>
  <c r="J47" i="3" s="1"/>
  <c r="G29" i="3"/>
  <c r="J29" i="3" s="1"/>
  <c r="G11" i="3"/>
  <c r="J11" i="3" s="1"/>
  <c r="G88" i="3"/>
  <c r="J88" i="3" s="1"/>
  <c r="G70" i="3"/>
  <c r="G52" i="3"/>
  <c r="G34" i="3"/>
  <c r="G22" i="3"/>
  <c r="J22" i="3" s="1"/>
  <c r="G10" i="3"/>
  <c r="J10" i="3" s="1"/>
  <c r="G99" i="3"/>
  <c r="J99" i="3" s="1"/>
  <c r="G87" i="3"/>
  <c r="J87" i="3" s="1"/>
  <c r="G81" i="3"/>
  <c r="J81" i="3" s="1"/>
  <c r="G69" i="3"/>
  <c r="J69" i="3" s="1"/>
  <c r="G63" i="3"/>
  <c r="J63" i="3" s="1"/>
  <c r="G51" i="3"/>
  <c r="J51" i="3" s="1"/>
  <c r="G45" i="3"/>
  <c r="J45" i="3" s="1"/>
  <c r="G33" i="3"/>
  <c r="G27" i="3"/>
  <c r="G15" i="3"/>
  <c r="G9" i="3"/>
  <c r="G85" i="3"/>
  <c r="G67" i="3"/>
  <c r="J67" i="3" s="1"/>
  <c r="G49" i="3"/>
  <c r="J49" i="3" s="1"/>
  <c r="G31" i="3"/>
  <c r="J31" i="3" s="1"/>
  <c r="G7" i="3"/>
  <c r="J7" i="3" s="1"/>
  <c r="G84" i="3"/>
  <c r="J84" i="3" s="1"/>
  <c r="G66" i="3"/>
  <c r="J66" i="3" s="1"/>
  <c r="G48" i="3"/>
  <c r="J48" i="3" s="1"/>
  <c r="G30" i="3"/>
  <c r="J30" i="3" s="1"/>
  <c r="G18" i="3"/>
  <c r="G89" i="3"/>
  <c r="G71" i="3"/>
  <c r="J71" i="3" s="1"/>
  <c r="G53" i="3"/>
  <c r="G41" i="3"/>
  <c r="J41" i="3" s="1"/>
  <c r="G23" i="3"/>
  <c r="J23" i="3" s="1"/>
  <c r="G100" i="3"/>
  <c r="J100" i="3" s="1"/>
  <c r="G82" i="3"/>
  <c r="J82" i="3" s="1"/>
  <c r="G64" i="3"/>
  <c r="J64" i="3" s="1"/>
  <c r="G46" i="3"/>
  <c r="J46" i="3" s="1"/>
  <c r="G98" i="3"/>
  <c r="J98" i="3" s="1"/>
  <c r="G92" i="3"/>
  <c r="G86" i="3"/>
  <c r="G80" i="3"/>
  <c r="G74" i="3"/>
  <c r="J74" i="3" s="1"/>
  <c r="G68" i="3"/>
  <c r="J68" i="3" s="1"/>
  <c r="G62" i="3"/>
  <c r="J62" i="3" s="1"/>
  <c r="G56" i="3"/>
  <c r="J56" i="3" s="1"/>
  <c r="G50" i="3"/>
  <c r="J50" i="3" s="1"/>
  <c r="G44" i="3"/>
  <c r="J44" i="3" s="1"/>
  <c r="G38" i="3"/>
  <c r="J38" i="3" s="1"/>
  <c r="G32" i="3"/>
  <c r="J32" i="3" s="1"/>
  <c r="G26" i="3"/>
  <c r="J26" i="3" s="1"/>
  <c r="G20" i="3"/>
  <c r="G14" i="3"/>
  <c r="G8" i="3"/>
  <c r="G2" i="3"/>
  <c r="J2" i="3" s="1"/>
  <c r="F7" i="3"/>
  <c r="I7" i="3" s="1"/>
  <c r="F5" i="3"/>
  <c r="I5" i="3" s="1"/>
  <c r="F4" i="3"/>
  <c r="I4" i="3" s="1"/>
  <c r="F97" i="3"/>
  <c r="I97" i="3" s="1"/>
  <c r="F79" i="3"/>
  <c r="I79" i="3" s="1"/>
  <c r="F61" i="3"/>
  <c r="I61" i="3" s="1"/>
  <c r="F43" i="3"/>
  <c r="I43" i="3" s="1"/>
  <c r="F25" i="3"/>
  <c r="I25" i="3" s="1"/>
  <c r="F90" i="3"/>
  <c r="I90" i="3" s="1"/>
  <c r="F72" i="3"/>
  <c r="I72" i="3" s="1"/>
  <c r="F54" i="3"/>
  <c r="F36" i="3"/>
  <c r="I36" i="3" s="1"/>
  <c r="F18" i="3"/>
  <c r="I18" i="3" s="1"/>
  <c r="F101" i="3"/>
  <c r="I101" i="3" s="1"/>
  <c r="F83" i="3"/>
  <c r="I83" i="3" s="1"/>
  <c r="F65" i="3"/>
  <c r="I65" i="3" s="1"/>
  <c r="F47" i="3"/>
  <c r="I47" i="3" s="1"/>
  <c r="F29" i="3"/>
  <c r="I29" i="3" s="1"/>
  <c r="F23" i="3"/>
  <c r="I23" i="3" s="1"/>
  <c r="F100" i="3"/>
  <c r="I100" i="3" s="1"/>
  <c r="F82" i="3"/>
  <c r="I82" i="3" s="1"/>
  <c r="F64" i="3"/>
  <c r="I64" i="3" s="1"/>
  <c r="F46" i="3"/>
  <c r="I46" i="3" s="1"/>
  <c r="F28" i="3"/>
  <c r="I28" i="3" s="1"/>
  <c r="F16" i="3"/>
  <c r="I16" i="3" s="1"/>
  <c r="F87" i="3"/>
  <c r="I87" i="3" s="1"/>
  <c r="F63" i="3"/>
  <c r="I63" i="3" s="1"/>
  <c r="F39" i="3"/>
  <c r="I39" i="3" s="1"/>
  <c r="F3" i="3"/>
  <c r="I3" i="3" s="1"/>
  <c r="F91" i="3"/>
  <c r="I91" i="3" s="1"/>
  <c r="F73" i="3"/>
  <c r="I73" i="3" s="1"/>
  <c r="F55" i="3"/>
  <c r="I55" i="3" s="1"/>
  <c r="F37" i="3"/>
  <c r="I37" i="3" s="1"/>
  <c r="F19" i="3"/>
  <c r="I19" i="3" s="1"/>
  <c r="F96" i="3"/>
  <c r="I96" i="3" s="1"/>
  <c r="F78" i="3"/>
  <c r="I78" i="3" s="1"/>
  <c r="F60" i="3"/>
  <c r="I60" i="3" s="1"/>
  <c r="F42" i="3"/>
  <c r="I42" i="3" s="1"/>
  <c r="F24" i="3"/>
  <c r="I24" i="3" s="1"/>
  <c r="F6" i="3"/>
  <c r="I6" i="3" s="1"/>
  <c r="F95" i="3"/>
  <c r="I95" i="3" s="1"/>
  <c r="F77" i="3"/>
  <c r="I77" i="3" s="1"/>
  <c r="F59" i="3"/>
  <c r="I59" i="3" s="1"/>
  <c r="F41" i="3"/>
  <c r="I41" i="3" s="1"/>
  <c r="F11" i="3"/>
  <c r="I11" i="3" s="1"/>
  <c r="F88" i="3"/>
  <c r="I88" i="3" s="1"/>
  <c r="F70" i="3"/>
  <c r="I70" i="3" s="1"/>
  <c r="F52" i="3"/>
  <c r="I52" i="3" s="1"/>
  <c r="F40" i="3"/>
  <c r="I40" i="3" s="1"/>
  <c r="F22" i="3"/>
  <c r="I22" i="3" s="1"/>
  <c r="F10" i="3"/>
  <c r="I10" i="3" s="1"/>
  <c r="F99" i="3"/>
  <c r="I99" i="3" s="1"/>
  <c r="F93" i="3"/>
  <c r="I93" i="3" s="1"/>
  <c r="F81" i="3"/>
  <c r="I81" i="3" s="1"/>
  <c r="F75" i="3"/>
  <c r="I75" i="3" s="1"/>
  <c r="F69" i="3"/>
  <c r="I69" i="3" s="1"/>
  <c r="F57" i="3"/>
  <c r="I57" i="3" s="1"/>
  <c r="F51" i="3"/>
  <c r="I51" i="3" s="1"/>
  <c r="F45" i="3"/>
  <c r="I45" i="3" s="1"/>
  <c r="F33" i="3"/>
  <c r="I33" i="3" s="1"/>
  <c r="F27" i="3"/>
  <c r="I27" i="3" s="1"/>
  <c r="F21" i="3"/>
  <c r="I21" i="3" s="1"/>
  <c r="F15" i="3"/>
  <c r="I15" i="3" s="1"/>
  <c r="F9" i="3"/>
  <c r="I9" i="3" s="1"/>
  <c r="F85" i="3"/>
  <c r="I85" i="3" s="1"/>
  <c r="F67" i="3"/>
  <c r="I67" i="3" s="1"/>
  <c r="F49" i="3"/>
  <c r="I49" i="3" s="1"/>
  <c r="F31" i="3"/>
  <c r="I31" i="3" s="1"/>
  <c r="F13" i="3"/>
  <c r="I13" i="3" s="1"/>
  <c r="F84" i="3"/>
  <c r="I84" i="3" s="1"/>
  <c r="F66" i="3"/>
  <c r="I66" i="3" s="1"/>
  <c r="F48" i="3"/>
  <c r="I48" i="3" s="1"/>
  <c r="F30" i="3"/>
  <c r="F12" i="3"/>
  <c r="I12" i="3" s="1"/>
  <c r="F89" i="3"/>
  <c r="I89" i="3" s="1"/>
  <c r="F71" i="3"/>
  <c r="I71" i="3" s="1"/>
  <c r="F53" i="3"/>
  <c r="I53" i="3" s="1"/>
  <c r="F35" i="3"/>
  <c r="I35" i="3" s="1"/>
  <c r="F17" i="3"/>
  <c r="I17" i="3" s="1"/>
  <c r="F94" i="3"/>
  <c r="I94" i="3" s="1"/>
  <c r="F76" i="3"/>
  <c r="I76" i="3" s="1"/>
  <c r="F58" i="3"/>
  <c r="I58" i="3" s="1"/>
  <c r="F34" i="3"/>
  <c r="I34" i="3" s="1"/>
  <c r="F98" i="3"/>
  <c r="I98" i="3" s="1"/>
  <c r="F92" i="3"/>
  <c r="I92" i="3" s="1"/>
  <c r="F86" i="3"/>
  <c r="I86" i="3" s="1"/>
  <c r="F80" i="3"/>
  <c r="I80" i="3" s="1"/>
  <c r="F74" i="3"/>
  <c r="I74" i="3" s="1"/>
  <c r="F68" i="3"/>
  <c r="I68" i="3" s="1"/>
  <c r="F62" i="3"/>
  <c r="I62" i="3" s="1"/>
  <c r="F56" i="3"/>
  <c r="I56" i="3" s="1"/>
  <c r="F50" i="3"/>
  <c r="I50" i="3" s="1"/>
  <c r="F44" i="3"/>
  <c r="I44" i="3" s="1"/>
  <c r="F38" i="3"/>
  <c r="I38" i="3" s="1"/>
  <c r="F32" i="3"/>
  <c r="I32" i="3" s="1"/>
  <c r="F26" i="3"/>
  <c r="I26" i="3" s="1"/>
  <c r="F20" i="3"/>
  <c r="I20" i="3" s="1"/>
  <c r="F14" i="3"/>
  <c r="I14" i="3" s="1"/>
  <c r="F8" i="3"/>
  <c r="I8" i="3" s="1"/>
  <c r="F2" i="3"/>
  <c r="I2" i="3" s="1"/>
  <c r="E97" i="3"/>
  <c r="H97" i="3" s="1"/>
  <c r="E6" i="3"/>
  <c r="H6" i="3" s="1"/>
  <c r="E5" i="3"/>
  <c r="H5" i="3" s="1"/>
  <c r="E4" i="3"/>
  <c r="H4" i="3" s="1"/>
  <c r="E79" i="3"/>
  <c r="H79" i="3" s="1"/>
  <c r="E61" i="3"/>
  <c r="E43" i="3"/>
  <c r="E25" i="3"/>
  <c r="H25" i="3" s="1"/>
  <c r="E7" i="3"/>
  <c r="H7" i="3" s="1"/>
  <c r="E84" i="3"/>
  <c r="H84" i="3" s="1"/>
  <c r="E66" i="3"/>
  <c r="H66" i="3" s="1"/>
  <c r="E48" i="3"/>
  <c r="H48" i="3" s="1"/>
  <c r="E30" i="3"/>
  <c r="H30" i="3" s="1"/>
  <c r="E12" i="3"/>
  <c r="H12" i="3" s="1"/>
  <c r="E89" i="3"/>
  <c r="H89" i="3" s="1"/>
  <c r="E71" i="3"/>
  <c r="H71" i="3" s="1"/>
  <c r="E53" i="3"/>
  <c r="H53" i="3" s="1"/>
  <c r="E35" i="3"/>
  <c r="E23" i="3"/>
  <c r="E82" i="3"/>
  <c r="E64" i="3"/>
  <c r="H64" i="3" s="1"/>
  <c r="E46" i="3"/>
  <c r="H46" i="3" s="1"/>
  <c r="E28" i="3"/>
  <c r="H28" i="3" s="1"/>
  <c r="E16" i="3"/>
  <c r="H16" i="3" s="1"/>
  <c r="E99" i="3"/>
  <c r="H99" i="3" s="1"/>
  <c r="E75" i="3"/>
  <c r="H75" i="3" s="1"/>
  <c r="E51" i="3"/>
  <c r="H51" i="3" s="1"/>
  <c r="E27" i="3"/>
  <c r="H27" i="3" s="1"/>
  <c r="E3" i="3"/>
  <c r="H3" i="3" s="1"/>
  <c r="E85" i="3"/>
  <c r="E73" i="3"/>
  <c r="E55" i="3"/>
  <c r="H55" i="3" s="1"/>
  <c r="E37" i="3"/>
  <c r="H37" i="3" s="1"/>
  <c r="E19" i="3"/>
  <c r="H19" i="3" s="1"/>
  <c r="E90" i="3"/>
  <c r="H90" i="3" s="1"/>
  <c r="E72" i="3"/>
  <c r="H72" i="3" s="1"/>
  <c r="E54" i="3"/>
  <c r="H54" i="3" s="1"/>
  <c r="E36" i="3"/>
  <c r="H36" i="3" s="1"/>
  <c r="E24" i="3"/>
  <c r="H24" i="3" s="1"/>
  <c r="E101" i="3"/>
  <c r="H101" i="3" s="1"/>
  <c r="E83" i="3"/>
  <c r="H83" i="3" s="1"/>
  <c r="E65" i="3"/>
  <c r="H65" i="3" s="1"/>
  <c r="E47" i="3"/>
  <c r="E29" i="3"/>
  <c r="H29" i="3" s="1"/>
  <c r="E11" i="3"/>
  <c r="H11" i="3" s="1"/>
  <c r="E100" i="3"/>
  <c r="H100" i="3" s="1"/>
  <c r="E88" i="3"/>
  <c r="H88" i="3" s="1"/>
  <c r="E70" i="3"/>
  <c r="H70" i="3" s="1"/>
  <c r="E52" i="3"/>
  <c r="H52" i="3" s="1"/>
  <c r="E34" i="3"/>
  <c r="H34" i="3" s="1"/>
  <c r="E10" i="3"/>
  <c r="H10" i="3" s="1"/>
  <c r="E93" i="3"/>
  <c r="H93" i="3" s="1"/>
  <c r="E87" i="3"/>
  <c r="H87" i="3" s="1"/>
  <c r="E81" i="3"/>
  <c r="E69" i="3"/>
  <c r="E63" i="3"/>
  <c r="H63" i="3" s="1"/>
  <c r="E57" i="3"/>
  <c r="H57" i="3" s="1"/>
  <c r="E45" i="3"/>
  <c r="H45" i="3" s="1"/>
  <c r="E39" i="3"/>
  <c r="H39" i="3" s="1"/>
  <c r="E33" i="3"/>
  <c r="H33" i="3" s="1"/>
  <c r="E21" i="3"/>
  <c r="H21" i="3" s="1"/>
  <c r="E15" i="3"/>
  <c r="H15" i="3" s="1"/>
  <c r="E9" i="3"/>
  <c r="H9" i="3" s="1"/>
  <c r="E91" i="3"/>
  <c r="H91" i="3" s="1"/>
  <c r="E67" i="3"/>
  <c r="H67" i="3" s="1"/>
  <c r="E49" i="3"/>
  <c r="E31" i="3"/>
  <c r="E13" i="3"/>
  <c r="H13" i="3" s="1"/>
  <c r="E96" i="3"/>
  <c r="H96" i="3" s="1"/>
  <c r="E78" i="3"/>
  <c r="H78" i="3" s="1"/>
  <c r="E60" i="3"/>
  <c r="H60" i="3" s="1"/>
  <c r="E42" i="3"/>
  <c r="H42" i="3" s="1"/>
  <c r="E18" i="3"/>
  <c r="H18" i="3" s="1"/>
  <c r="E95" i="3"/>
  <c r="H95" i="3" s="1"/>
  <c r="E77" i="3"/>
  <c r="H77" i="3" s="1"/>
  <c r="E59" i="3"/>
  <c r="H59" i="3" s="1"/>
  <c r="E41" i="3"/>
  <c r="H41" i="3" s="1"/>
  <c r="E17" i="3"/>
  <c r="E94" i="3"/>
  <c r="E76" i="3"/>
  <c r="E58" i="3"/>
  <c r="H58" i="3" s="1"/>
  <c r="E40" i="3"/>
  <c r="H40" i="3" s="1"/>
  <c r="E22" i="3"/>
  <c r="H22" i="3" s="1"/>
  <c r="E98" i="3"/>
  <c r="H98" i="3" s="1"/>
  <c r="E92" i="3"/>
  <c r="H92" i="3" s="1"/>
  <c r="E86" i="3"/>
  <c r="H86" i="3" s="1"/>
  <c r="E80" i="3"/>
  <c r="H80" i="3" s="1"/>
  <c r="E74" i="3"/>
  <c r="H74" i="3" s="1"/>
  <c r="E68" i="3"/>
  <c r="H68" i="3" s="1"/>
  <c r="E62" i="3"/>
  <c r="H62" i="3" s="1"/>
  <c r="E56" i="3"/>
  <c r="E50" i="3"/>
  <c r="H50" i="3" s="1"/>
  <c r="E44" i="3"/>
  <c r="H44" i="3" s="1"/>
  <c r="E38" i="3"/>
  <c r="H38" i="3" s="1"/>
  <c r="E32" i="3"/>
  <c r="H32" i="3" s="1"/>
  <c r="E26" i="3"/>
  <c r="H26" i="3" s="1"/>
  <c r="E20" i="3"/>
  <c r="H20" i="3" s="1"/>
  <c r="E14" i="3"/>
  <c r="H14" i="3" s="1"/>
  <c r="E8" i="3"/>
  <c r="H8" i="3" s="1"/>
  <c r="E2" i="3"/>
  <c r="H2" i="3" s="1"/>
  <c r="D6" i="2"/>
  <c r="D3" i="2"/>
  <c r="D7" i="2"/>
  <c r="D5" i="2"/>
  <c r="D4" i="2"/>
  <c r="D8" i="2"/>
  <c r="D2" i="2"/>
  <c r="C4" i="2"/>
  <c r="C3" i="2"/>
  <c r="C5" i="2"/>
  <c r="C7" i="2"/>
  <c r="C6" i="2"/>
  <c r="C8" i="2"/>
  <c r="C2" i="2"/>
  <c r="J97" i="3"/>
  <c r="J18" i="3"/>
  <c r="J53" i="3"/>
  <c r="J35" i="3"/>
  <c r="J16" i="3"/>
  <c r="J72" i="3"/>
  <c r="J54" i="3"/>
  <c r="J89" i="3"/>
  <c r="J70" i="3"/>
  <c r="J52" i="3"/>
  <c r="J34" i="3"/>
  <c r="J93" i="3"/>
  <c r="J75" i="3"/>
  <c r="J27" i="3"/>
  <c r="J9" i="3"/>
  <c r="J85" i="3"/>
  <c r="J12" i="3"/>
  <c r="J95" i="3"/>
  <c r="J92" i="3"/>
  <c r="J80" i="3"/>
  <c r="J14" i="3"/>
  <c r="J8" i="3"/>
  <c r="I54" i="3"/>
  <c r="I30" i="3"/>
  <c r="H49" i="3"/>
  <c r="H61" i="3"/>
  <c r="H31" i="3"/>
  <c r="H73" i="3"/>
  <c r="H85" i="3"/>
  <c r="H35" i="3"/>
  <c r="H47" i="3"/>
  <c r="H23" i="3"/>
  <c r="H94" i="3"/>
  <c r="H76" i="3"/>
  <c r="H81" i="3"/>
  <c r="H69" i="3"/>
  <c r="H43" i="3"/>
  <c r="H17" i="3"/>
  <c r="H82" i="3"/>
  <c r="H56" i="3"/>
  <c r="J33" i="3"/>
  <c r="J15" i="3"/>
  <c r="J86" i="3"/>
  <c r="J20" i="3"/>
  <c r="B9" i="2" l="1" a="1"/>
  <c r="B9" i="2" s="1"/>
  <c r="D9" i="2" a="1"/>
  <c r="D9" i="2" s="1"/>
  <c r="C9" i="2" a="1"/>
  <c r="C9" i="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<sst xmlns="http://schemas.openxmlformats.org/spreadsheetml/2006/main" count="312" uniqueCount="185">
  <si>
    <t>Accomodation</t>
  </si>
  <si>
    <t>Cleanliness</t>
  </si>
  <si>
    <t>Value-for-money</t>
  </si>
  <si>
    <t>Review</t>
  </si>
  <si>
    <t>I'd take kateoz's advice. If you need help finding a place in a certain price range, just ask. There are a lot of great people on this forum who help many, many people (I'm not very useful for this, but fortuantely, there are plenty who are).</t>
  </si>
  <si>
    <t>You can get a room with king-size bed at the Verve, currently holding the #1 spot on TA's roster of Long Island City hotels, for $129.99/night -- just $20 more than what the Hotel would charge you; an additional $10/night will give you a somewhat larger room with a sleep sofa. And for $159.99/night, you can literally splash out with a room that includes a whirlpool tub.</t>
  </si>
  <si>
    <t>The only reasons to stay at the hotel: you want to take bedbugs home with you &amp; you want to break off the friendship or relationship with your traveling companion but are too chicken to say so -- you're hoping s/he will dump you on the spot.</t>
  </si>
  <si>
    <t>Well - a few or more months ago - a woman's body was found under a bed - I believe the room was occupied at the time and the tenant reported a foul smell. But looking on the bright side - there was no extra charge for the extra person in the room. I know, not very compassionate - just wanted to make a point. Poppa</t>
  </si>
  <si>
    <t>Net Promoter Score</t>
  </si>
  <si>
    <t>Um, it can be pretty bad. Mixed reviews? The reviews are universally AWFUL. You've been warned: if you really want to stay there, I guess we can't stop you, but I wouldn't let my worst enemy stay in that place. Seriously. They find dead bodies under beds. Bed bugs are a given. A working lock on your door would be a bonus, and the water isn't always on.</t>
  </si>
  <si>
    <t>Date</t>
  </si>
  <si>
    <t>Source</t>
  </si>
  <si>
    <t>Google Play</t>
  </si>
  <si>
    <t>Apple App Store</t>
  </si>
  <si>
    <t>AppReviews</t>
  </si>
  <si>
    <t>Functionality</t>
  </si>
  <si>
    <t>Stability</t>
  </si>
  <si>
    <t>Month</t>
  </si>
  <si>
    <t>Grand Total</t>
  </si>
  <si>
    <t>2026-01</t>
  </si>
  <si>
    <t>2026-02</t>
  </si>
  <si>
    <t>2026-03</t>
  </si>
  <si>
    <t>2026-04</t>
  </si>
  <si>
    <t>2026-05</t>
  </si>
  <si>
    <t>2026-06</t>
  </si>
  <si>
    <t>2026-07</t>
  </si>
  <si>
    <t>2026-08</t>
  </si>
  <si>
    <t>2026-09</t>
  </si>
  <si>
    <t>2026-10</t>
  </si>
  <si>
    <t>2026-11</t>
  </si>
  <si>
    <t>2026-12</t>
  </si>
  <si>
    <t>Functionality NPS Contribution</t>
  </si>
  <si>
    <t>Stability NPS Contribution</t>
  </si>
  <si>
    <t>Functionality NPS</t>
  </si>
  <si>
    <t>Stability NPS</t>
  </si>
  <si>
    <t>Constant crashes when trying to clock in. Takes forever to load schedules and the app freezes at least twice per shift. Really frustrating when you're trying to start work.</t>
  </si>
  <si>
    <t>Unusable right now. Every time I try to view my schedule the app crashes. Loading times are ridiculous and it drains my battery like crazy. Hope they fix this soon.</t>
  </si>
  <si>
    <t>Very buggy. Can't rely on it for time tracking because it keeps logging me out randomly. The shift swap feature doesn't work at all. Performance issues make it hard to use daily.</t>
  </si>
  <si>
    <t>Still having major stability problems. App crashes when opening notifications about schedule changes. Takes 3-4 attempts to successfully clock in most days.</t>
  </si>
  <si>
    <t>Laggy and unreliable. The app freezes when trying to request time off. Performance is awful especially during peak hours. Can't depend on it for critical workforce functions.</t>
  </si>
  <si>
    <t>Disappointed with the stability. Lost my entire week's timesheet yesterday due to a crash. Loading the dashboard takes over a minute. Not ready for production use.</t>
  </si>
  <si>
    <t>Performance has been abysmal. The app hangs constantly and I have to force close it multiple times per day. Schedule notifications don't come through half the time.</t>
  </si>
  <si>
    <t>Extremely slow and crashes frequently. Trying to clock out takes several minutes if it works at all. The overtime tracking feature is completely broken. Very frustrating experience.</t>
  </si>
  <si>
    <t>App is improving slightly but still crashes too often. Performance is better than last month but still slow. At least I can clock in without it freezing now most of the time.</t>
  </si>
  <si>
    <t>Seeing some improvements in stability but it's still not great. The app doesn't crash as much but loading times are still painfully slow. Functionality is hit or miss.</t>
  </si>
  <si>
    <t>Getting better gradually. Fewer crashes this week though performance is still sluggish. Time tracking seems more reliable now. Still needs work but moving in the right direction.</t>
  </si>
  <si>
    <t>Notice some performance improvements. The app loads a bit faster and I haven't had a crash in a few days. Shift swapping feature is starting to work more consistently.</t>
  </si>
  <si>
    <t>Stability is improving. Still get occasional freezes but it's much better than January. Performance could be faster but at least it's functional now most of the time.</t>
  </si>
  <si>
    <t>Progress is being made. The app is more stable and responds better. Had only one crash this week. Loading the schedule is quicker though still not instant.</t>
  </si>
  <si>
    <t>Better performance lately. Clock in/out works smoothly most days now. The app still lags sometimes when viewing detailed reports but overall functionality has improved.</t>
  </si>
  <si>
    <t>Noticeable improvements in the last few weeks. Crashes are rare now and the app loads faster. Time tracking is much more reliable. Still room for optimization but getting there.</t>
  </si>
  <si>
    <t>Performance is decent now. The app doesn't freeze as much and features are more responsive. Stability has improved significantly from the start of the year.</t>
  </si>
  <si>
    <t>Much more stable than before. Can actually rely on it for daily time tracking now. Performance is acceptable though it occasionally slows down during shift changes.</t>
  </si>
  <si>
    <t>Good progress on stability. The app works consistently and crashes are uncommon now. Performance is solid for basic features though advanced reporting still lags a bit.</t>
  </si>
  <si>
    <t>Functionality has improved a lot. Most features work as expected now and performance is reasonable. Still get the occasional slow response but nothing major.</t>
  </si>
  <si>
    <t>Pretty stable lately. Haven't had a crash in over two weeks. Performance is good enough for daily use. Schedule loading is much faster than it used to be.</t>
  </si>
  <si>
    <t>App is working well now. Time tracking is reliable and the interface responds quickly. Stability is solid. Only minor performance hiccups occasionally.</t>
  </si>
  <si>
    <t>Reliable performance now. The app handles all my shifts without issues. Load times are acceptable and crashes are very rare. Definitely improved since launch.</t>
  </si>
  <si>
    <t>Good stability and performance. Can trust the app for accurate time tracking. Features load quickly and everything works smoothly most of the time.</t>
  </si>
  <si>
    <t>Working reliably now. Performance is consistently good and I haven't experienced any crashes in weeks. All the workforce features function properly.</t>
  </si>
  <si>
    <t>Solid performance throughout. The app is stable and responsive. Time tracking, scheduling, and shift management all work great. Impressed with the turnaround.</t>
  </si>
  <si>
    <t>Very stable now. Performance is smooth and features are reliable. Clock in/out happens instantly. The app has come a long way from the beginning of the year.</t>
  </si>
  <si>
    <t>Great performance now. The app is fast, stable, and all functionality works perfectly. Time tracking is accurate and reliable. No complaints about stability.</t>
  </si>
  <si>
    <t>Running smoothly. Performance is excellent and I haven't seen a single crash in over a month. All features respond instantly. Very satisfied with the current state.</t>
  </si>
  <si>
    <t>Outstanding performance. The app is rock solid now. Zero crashes, instant loading, and all features work perfectly. Complete transformation from January.</t>
  </si>
  <si>
    <t>Extremely reliable. Performance is top-notch with no lag whatsoever. All workforce management features operate smoothly. The stability is impressive.</t>
  </si>
  <si>
    <t>Flawless performance. The app is incredibly stable with excellent responsiveness. All features work seamlessly. This is what it should have been at launch.</t>
  </si>
  <si>
    <t>Amazing turnaround. The app is now fast, stable, and fully functional. Performance is excellent across all features. Haven't had any issues in months.</t>
  </si>
  <si>
    <t>Top tier performance now. The app is stable, fast, and feature-complete. Time tracking and scheduling work flawlessly. Very impressed with the improvements.</t>
  </si>
  <si>
    <t>Runs perfectly. Performance is outstanding with no slowdowns or crashes. All workforce features are fully functional and responsive. Excellent reliability.</t>
  </si>
  <si>
    <t>Impeccable stability. Performance is consistently excellent with zero issues. All functions work perfectly every time. This is now a truly professional-grade app.</t>
  </si>
  <si>
    <t>Brilliant performance throughout. The app is rock solid with fantastic speed. All workforce management features operate seamlessly. Couldn't ask for better stability.</t>
  </si>
  <si>
    <t>Phenomenal stability and speed. The app performs flawlessly in every aspect. Time tracking, scheduling, and all features work perfectly. Truly excellent now.</t>
  </si>
  <si>
    <t>Perfect performance. The app is extremely stable, super fast, and all functionality works without any issues. Best workforce app I've used. Total transformation since January.</t>
  </si>
  <si>
    <t>Absolutely reliable now. Performance is outstanding with zero lag or crashes. All workforce management functions operate flawlessly. This app is now best in class.</t>
  </si>
  <si>
    <t>Superb performance and stability. The app works perfectly every single time. Fast, reliable, and fully functional. An incredible improvement from where it started.</t>
  </si>
  <si>
    <t>Flawless execution. The app is incredibly stable with exceptional performance. All features work seamlessly and instantly. Outstanding workforce management tool now.</t>
  </si>
  <si>
    <t>Total disaster. App crashes constantly and wipes my timesheet data. Performance is incredibly sluggish. The whole system is unstable and unreliable right now.</t>
  </si>
  <si>
    <t>Can't use this for actual work. Crashes every few minutes and performance is terrible. Loading anything takes forever. Stability issues make this completely unusable.</t>
  </si>
  <si>
    <t>Awful performance and constant crashes. The app freezes whenever I try to clock in. Everything is painfully slow and buggy. Completely unreliable.</t>
  </si>
  <si>
    <t>Extremely buggy and slow. Lost my entire shift history due to crashes. Performance degrades throughout the day. Can't trust it for workforce tracking at all.</t>
  </si>
  <si>
    <t>Stability is nonexistent. The app crashes multiple times per shift. Performance is abysmal with load times over a minute. Features don't work properly at all.</t>
  </si>
  <si>
    <t>Still crashes all the time. Performance hasn't improved at all. The app is just as slow and buggy as it was last month. Very disappointed with the lack of progress.</t>
  </si>
  <si>
    <t>Major stability problems continue but slightly less frequent. Performance is still very poor though marginally better. The app needs a lot more work.</t>
  </si>
  <si>
    <t>Showing some signs of improvement. Crashes are somewhat less frequent now. Performance is still sluggish but the app is becoming slightly more usable.</t>
  </si>
  <si>
    <t>No real improvement in performance. Still crashes regularly and everything loads incredibly slowly. The app remains frustratingly unstable and laggy.</t>
  </si>
  <si>
    <t>Getting a bit better. Performance has improved slightly and crashes are less common. Still not great but at least it's somewhat functional now.</t>
  </si>
  <si>
    <t>Gradual improvements visible. The app crashes less often and responds a bit faster. Stability is improving slowly. Still needs significant work though.</t>
  </si>
  <si>
    <t>Performance is still terrible. Barely any improvement from January. The app crashes frequently and everything is slow. Really needs optimization work.</t>
  </si>
  <si>
    <t>Noticeably better now. Performance is decent and crashes are becoming rare. Most features work reliably. Progress is clearly being made.</t>
  </si>
  <si>
    <t>Much more stable lately. Performance has improved significantly. The app loads faster and crashes are uncommon now. Getting to an acceptable level.</t>
  </si>
  <si>
    <t>Still having major performance problems. The app is slow and crashes often. Minimal improvement over the past few months. Very frustrating to use.</t>
  </si>
  <si>
    <t>Good improvements in stability. Performance is solid now and features work consistently. Crashes are rare. The app is finally reliable for daily use.</t>
  </si>
  <si>
    <t>Strong progress on performance. The app runs smoothly and stability is much better. Features respond quickly. Very pleased with the improvements.</t>
  </si>
  <si>
    <t>Performance remains poor. Still dealing with crashes and slow loading times. The app hasn't gotten much better. Still unreliable for workforce management.</t>
  </si>
  <si>
    <t>Reliable performance now. The app is stable and fast. All features work well without crashes. Very usable for all my workforce needs.</t>
  </si>
  <si>
    <t>Excellent stability lately. Performance is consistently good. The app handles everything smoothly. Crashes are virtually non-existent now.</t>
  </si>
  <si>
    <t>Still sluggish and buggy. Performance hasn't really improved. Crashes continue to be a problem. Don't understand why the iOS version is so far behind.</t>
  </si>
  <si>
    <t>Great performance now. The app is fast, stable, and fully functional. Everything works reliably. Very satisfied with how far it's come.</t>
  </si>
  <si>
    <t>Impressive improvements. Performance is excellent and the app is rock solid. All features work flawlessly. Stability is top-notch now.</t>
  </si>
  <si>
    <t>Outstanding stability and speed. The app performs brilliantly. All workforce features work perfectly. No issues at all anymore.</t>
  </si>
  <si>
    <t>Superb performance. The app is lightning fast and completely stable. Everything functions seamlessly. Remarkable turnaround from the beginning of the year.</t>
  </si>
  <si>
    <t>Flawless performance now. The app is incredibly stable and responsive. All features work perfectly every time. Excellent workforce management tool.</t>
  </si>
  <si>
    <t>Perfect stability. Performance is exceptional with instant loading. Every feature operates smoothly. This app has been completely transformed.</t>
  </si>
  <si>
    <t>Absolutely stellar. The app performs flawlessly with zero stability issues. Everything is fast and reliable. Best workforce app available.</t>
  </si>
  <si>
    <t>Exceptional performance and stability. The app works perfectly across all features. Lightning fast and completely reliable. Couldn't be better.</t>
  </si>
  <si>
    <t>Still buggy and slow. Performance is poor with frequent crashes. Very little improvement over the past six months. iOS users are getting shortchanged.</t>
  </si>
  <si>
    <t>Perfect in every way. Performance is outstanding and stability is rock solid. All features work seamlessly. Truly professional-grade quality.</t>
  </si>
  <si>
    <t>Brilliant stability and speed. The app performs exceptionally well. Everything functions flawlessly. An amazing year of continuous improvement.</t>
  </si>
  <si>
    <t>Outstanding reliability. Performance is consistently excellent. The app is lightning fast and completely stable. All workforce features work perfectly.</t>
  </si>
  <si>
    <t>Flawless execution. The app is incredibly stable with exceptional performance. Everything works instantly and reliably. Best in class application.</t>
  </si>
  <si>
    <t>Still having stability issues. Performance is mediocre at best with regular crashes. Minimal improvement despite months of updates. Very disappointing.</t>
  </si>
  <si>
    <t>Phenomenal performance. The app is rock solid and blazing fast. All features operate flawlessly. The improvements this year have been incredible.</t>
  </si>
  <si>
    <t>Perfect stability and performance. The app works seamlessly with instant responsiveness. Every feature functions perfectly. Truly outstanding quality.</t>
  </si>
  <si>
    <t>Exceptional in every aspect. The app delivers flawless performance with perfect stability. All workforce features work seamlessly. Absolutely world-class.</t>
  </si>
  <si>
    <t>Absolutely perfect now. The app is incredibly stable and lightning fast. All features work flawlessly. From terrible to excellent - amazing transformation.</t>
  </si>
  <si>
    <t>Remarkable performance and stability. The app operates perfectly with instant loading. Everything works seamlessly. A complete success story.</t>
  </si>
  <si>
    <t>Flawless performance throughout. The app is rock solid with exceptional speed. All workforce management features operate perfectly. Truly premium quality.</t>
  </si>
  <si>
    <t>Outstanding in every way. Performance is exceptional and stability is perfect. Every feature works flawlessly. An incredible year of improvement culminating in excellence.</t>
  </si>
  <si>
    <t>FWIW, this hotel has been a fleabag dump (and that's the nice way of putting it) for quite some time. Back in the early 90s, a friend and her sister booked a room there because it was cheap. At the time the first 5 floors of the place were a welfare hotel. When I said this to my friend (60 Minutes had done a feature at the time), she was unaware. Still, she kept her reservation. When she got back, she told me that the door to their room wouldn't lock properly plus the phone didn't work. Not a good combination when you consider few people had cell phones at the time! She told me they were afraid to fall asleep at night!</t>
  </si>
  <si>
    <t>Speed</t>
  </si>
  <si>
    <t>Speed NPS Contribution</t>
  </si>
  <si>
    <t>Speed NPS</t>
  </si>
  <si>
    <t>Still quite slow but very stable. I like the new features that have appeared.</t>
  </si>
  <si>
    <t>I've stayed there several time. Each time with a list of serious but managable issues: no lock, no water, rodents, live wires, graffiti on the walls, TVs that never work (why have them in the room, they are just clutter), no phone. Dirty linens. Sludge was in the bathroom sink. You name it. But I dealth with it because the price was right and the location suited my needs. As I tell my friends, "I have no standards". But a few years ago, I drew the line. I have upgraded to the West Side YMCA. The "bare bones" rooms at the YMCA are much better and the "deluxe" rooms at the YMCA are pure luxury compared to the hotel.</t>
  </si>
  <si>
    <t>Superb reliability and speed. Performance is outstanding with zero issues. Everything functions perfectly. This app has achieved true excellence.</t>
  </si>
  <si>
    <t>Still slow but not rock solid and stable. Some excellent features are now available in the app"</t>
  </si>
  <si>
    <t>Performance remains problematic. Very stable now but runs slowly. Great new features but unless the speed improves we're thinking of switching to something else</t>
  </si>
  <si>
    <t>Performance hasn't improved much at all. At least it's stopped crashing since the recent update. The app is frustratingly slow. Nice that the features are now the same as the Android version</t>
  </si>
  <si>
    <t>Still experiencing performance issues. Now has the same features as Android but the iOS version clearly needs more work than it's getting.</t>
  </si>
  <si>
    <t>Performance is still subpar. The app  loads slowly. Really disappointing compared to other platforms.</t>
  </si>
  <si>
    <t>Excellent. Stability is perfect, performance is bit slow, but all features work seamlessly. The improvements throughout the year have been remarkable.</t>
  </si>
  <si>
    <t>Outstanding reliability. Can start very slowly but zero crashes. Every feature functions perfectly. The team has done an amazing job optimizing this.</t>
  </si>
  <si>
    <t>The app is incredibly stable but very slow. Every feature works smoothly and efficiently. Time tracking has been flawless for months.</t>
  </si>
  <si>
    <t>Exceptional stability but poor speed. Everything works perfectly. The app handles my entire shift management without any glitches. Highly reliable.</t>
  </si>
  <si>
    <t>Perfect stability. App performance is quite poor but everything functions exactly as it should. Time tracking is instantaneous and accurate every time.</t>
  </si>
  <si>
    <t>Superb stability. The app is sluggish but handles everything I throw at it. Time tracking, scheduling, and reporting all work flawlessly.</t>
  </si>
  <si>
    <t>Excellent stability. App performs well but it can take a while to launch. All features work as intended and loading times are quick. Really pleased with the improvements made.</t>
  </si>
  <si>
    <t>Performance is terrible. The app is so slow I often miss my clock-in window. Time tracking feature barely works and I've lost hours of logged time. It needs some major improvements.</t>
  </si>
  <si>
    <t>Features</t>
  </si>
  <si>
    <t>Product</t>
  </si>
  <si>
    <t>Sugar</t>
  </si>
  <si>
    <t>Milk</t>
  </si>
  <si>
    <t>Eggs</t>
  </si>
  <si>
    <t>Price</t>
  </si>
  <si>
    <t>Quantity</t>
  </si>
  <si>
    <t>Coffee</t>
  </si>
  <si>
    <t>It's very slow, but i's very stable and does not crash. I  love the new features that have arrived.</t>
  </si>
  <si>
    <t>• Converts Excel ranges to CSV format for model processing</t>
  </si>
  <si>
    <t>• Only caches successful responses (errors trigger fresh API calls)</t>
  </si>
  <si>
    <t>• Makes HTTP POST requests to Ollama's local API (http://localhost:11434)</t>
  </si>
  <si>
    <t>How It Works</t>
  </si>
  <si>
    <t>1. Install Ollama from ollama.com</t>
  </si>
  <si>
    <t>Installation</t>
  </si>
  <si>
    <t>• Ollama installed and running locally</t>
  </si>
  <si>
    <t>• Microsoft Excel (Mac or Windows)</t>
  </si>
  <si>
    <t>Requirements</t>
  </si>
  <si>
    <t>VBA macro to clear the local response cache.</t>
  </si>
  <si>
    <t>ClearOllamaCache()</t>
  </si>
  <si>
    <t>• model (optional): Model name (default: "llama3")</t>
  </si>
  <si>
    <t>• range (optional): Excel range to include in the analysis</t>
  </si>
  <si>
    <t>• prompt (required): Your question or instruction</t>
  </si>
  <si>
    <t>Parameters:</t>
  </si>
  <si>
    <t>Main function to interact with Ollama models.</t>
  </si>
  <si>
    <t>OLLAMA(prompt, [range], [model])</t>
  </si>
  <si>
    <t>Functions</t>
  </si>
  <si>
    <t>• Error Handling: Graceful error handling with informative messages</t>
  </si>
  <si>
    <t>• Mac &amp; Windows Compatible: Works on both platforms with automatic path detection</t>
  </si>
  <si>
    <t>• Flexible Model Selection: Use any locally installed Ollama model (defaults to llama3)</t>
  </si>
  <si>
    <t>• Range Analysis: Pass Excel ranges directly to the model for data analysis</t>
  </si>
  <si>
    <t>• Intelligent Caching: Responses are cached locally to avoid redundant API calls and improve performance</t>
  </si>
  <si>
    <t>• Simple LLM Integration: Call Ollama models directly from Excel formulas</t>
  </si>
  <si>
    <t>Excel Ollama Integration</t>
  </si>
  <si>
    <t>Examples (if these look like errors, you probably haven't got Ollama running locally with the llama3 model):</t>
  </si>
  <si>
    <t>2. Pull your desired model (llama3 is the one this workbook uses by default): ollama pull llama3</t>
  </si>
  <si>
    <t>3. Install VBA-Web library in your Excel project (https://github.com/VBA-tools/VBA-Web) and import Module1 from this workbook into your workbook, OR…</t>
  </si>
  <si>
    <t>4. …just copy and edit this workbook to do what you want</t>
  </si>
  <si>
    <t>5. If you access Ollama from a different machine, edit the Client.BaseUrl in the OLLAMA function in Module1</t>
  </si>
  <si>
    <t>6. Start using the functions in your spreadsheets!</t>
  </si>
  <si>
    <t>An Excel Workbook that connects to a local Ollama installation, enabling you to use AI large language models directly in your spreadsheets. Using Ollama means everything can be done locally with no risk of running over Copilot usage limits, or incurring API charges.
The first time you edit the reviews in the tables, it will be a little slow because Excel will run all of the cell-prompts for the first time. The results will be cached after that.</t>
  </si>
  <si>
    <t>• Caches responses in ~/Documents/OllamaCache.txt to avoid repeat calls (it's in "~/Library/Continers/Microsoft Excel/Data/Documents/OllamaCache.txt" on the Mac)</t>
  </si>
  <si>
    <t>• VBA-Web library for REST API calls (already included in the demo workbook)</t>
  </si>
  <si>
    <t>English muffins</t>
  </si>
  <si>
    <t>Bacon</t>
  </si>
  <si>
    <t>Hollandaise sauce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</si>
</sst>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2"/>
      <color rgb="FF000000"/>
      <name val="Aptos Narrow"/>
      <family val="2"/>
    </font>
    <font>
      <sz val="16"/>
      <color theme="1"/>
      <name val="Optima"/>
      <family val="2"/>
    </font>
    <font>
      <sz val="11"/>
      <name val="Calibri"/>
      <family val="2"/>
    </font>
    <font>
      <b/>
      <sz val="14"/>
      <name val="Calibri"/>
      <family val="2"/>
    </font>
    <font>
      <b/>
      <sz val="12"/>
      <name val="Calibri"/>
      <family val="2"/>
    </font>
    <font>
      <b/>
      <sz val="18"/>
      <name val="Calibri"/>
      <family val="2"/>
    </font>
  </fonts>
  <fills count="4">
    <fill>
      <patternFill patternType="none"/>
    </fill>
    <fill>
      <patternFill patternType="gray125"/>
    </fill>
    <fill>
      <patternFill patternType="solid">
        <fgColor rgb="FFD9E1F2"/>
        <bgColor rgb="FFD9E1F2"/>
      </patternFill>
    </fill>
    <fill>
      <patternFill patternType="solid">
        <fgColor theme="8" tint="0.39994506668294322"/>
        <bgColor rgb="FF4472C4"/>
      </patternFill>
    </fill>
  </fills>
  <borders count="3">
    <border>
      <left/>
      <right/>
      <top/>
      <bottom/>
      <diagonal/>
    </border>
    <border>
      <left/>
      <right/>
      <top/>
      <bottom style="thin">
        <color auto="1"/>
      </bottom>
      <diagonal/>
    </border>
    <border>
      <left/>
      <right/>
      <top style="thin">
        <color auto="1"/>
      </top>
      <bottom style="thin">
        <color auto="1"/>
      </bottom>
      <diagonal/>
    </border>
  </borders>
  <cellStyleXfs count="1">
    <xf numFmtId="0" fontId="0" fillId="0" borderId="0"/>
  </cellStyleXfs>
  <cellXfs count="18">
    <xf numFmtId="0" fontId="0" fillId="0" borderId="0" xfId="0"/>
    <xf numFmtId="0" fontId="1" fillId="0" borderId="0" xfId="0" applyFont="1" applyAlignment="1">
      <alignment wrapText="1"/>
    </xf>
    <xf numFmtId="2" fontId="0" fillId="0" borderId="0" xfId="0" applyNumberFormat="1"/>
    <xf numFmtId="0" fontId="0" fillId="0" borderId="0" xfId="0" applyAlignment="1">
      <alignment horizontal="right"/>
    </xf>
    <xf numFmtId="0" fontId="0" fillId="0" borderId="0" xfId="0" pivotButton="1"/>
    <xf numFmtId="0" fontId="0" fillId="0" borderId="0" xfId="0" applyAlignment="1">
      <alignment horizontal="left"/>
    </xf>
    <xf numFmtId="0" fontId="2" fillId="0" borderId="0" xfId="0" applyFont="1"/>
    <xf numFmtId="14" fontId="2" fillId="0" borderId="0" xfId="0" applyNumberFormat="1" applyFont="1"/>
    <xf numFmtId="0" fontId="2" fillId="0" borderId="0" xfId="0" applyFont="1" applyAlignment="1">
      <alignment wrapText="1"/>
    </xf>
    <xf numFmtId="0" fontId="2" fillId="0" borderId="1" xfId="0" applyFont="1" applyBorder="1" applyAlignment="1">
      <alignment horizontal="left"/>
    </xf>
    <xf numFmtId="0" fontId="2" fillId="0" borderId="2" xfId="0" applyFont="1" applyBorder="1" applyAlignment="1">
      <alignment horizontal="left" wrapText="1"/>
    </xf>
    <xf numFmtId="0" fontId="0" fillId="0" borderId="2" xfId="0" applyBorder="1" applyAlignment="1">
      <alignment horizontal="left"/>
    </xf>
    <xf numFmtId="0" fontId="3" fillId="0" borderId="0" xfId="0" applyFont="1" applyAlignment="1">
      <alignment vertical="top" wrapText="1" indent="1"/>
    </xf>
    <xf numFmtId="0" fontId="4" fillId="2" borderId="0" xfId="0" applyFont="1" applyFill="1" applyAlignment="1">
      <alignment vertical="top" wrapText="1"/>
    </xf>
    <xf numFmtId="0" fontId="3" fillId="0" borderId="0" xfId="0" applyFont="1" applyAlignment="1">
      <alignment vertical="top" wrapText="1"/>
    </xf>
    <xf numFmtId="0" fontId="5" fillId="0" borderId="0" xfId="0" applyFont="1" applyAlignment="1">
      <alignment vertical="top" wrapText="1"/>
    </xf>
    <xf numFmtId="0" fontId="3" fillId="0" borderId="0" xfId="0" applyFont="1" applyAlignment="1">
      <alignment vertical="top" wrapText="1" indent="2"/>
    </xf>
    <xf numFmtId="0" fontId="6" fillId="3" borderId="0" xfId="0" applyFont="1" applyFill="1" applyAlignment="1">
      <alignment vertical="top" wrapText="1"/>
    </xf>
  </cellXfs>
  <cellStyles count="1">
    <cellStyle name="Normal" xfId="0" builtinId="0"/>
  </cellStyles>
  <dxfs count="20">
    <dxf>
      <font>
        <b val="0"/>
        <i val="0"/>
        <strike val="0"/>
        <outline val="0"/>
        <shadow val="0"/>
        <u val="none"/>
        <vertAlign val="baseline"/>
        <sz val="16"/>
        <color theme="1"/>
        <name val="Optima"/>
        <family val="2"/>
        <scheme val="none"/>
      </font>
      <numFmt numFmtId="0" formatCode="General"/>
      <alignment horizontal="general" vertical="bottom" textRotation="0" wrapText="1" indent="0" justifyLastLine="0" shrinkToFit="0" readingOrder="0"/>
    </dxf>
    <dxf>
      <font>
        <b val="0"/>
        <i val="0"/>
        <strike val="0"/>
        <outline val="0"/>
        <shadow val="0"/>
        <u val="none"/>
        <vertAlign val="baseline"/>
        <sz val="16"/>
        <color theme="1"/>
        <name val="Optima"/>
        <family val="2"/>
        <scheme val="none"/>
      </font>
      <numFmt numFmtId="0" formatCode="General"/>
      <alignment horizontal="general" vertical="bottom" textRotation="0" wrapText="1" indent="0" justifyLastLine="0" shrinkToFit="0" readingOrder="0"/>
    </dxf>
    <dxf>
      <font>
        <b val="0"/>
        <i val="0"/>
        <strike val="0"/>
        <outline val="0"/>
        <shadow val="0"/>
        <u val="none"/>
        <vertAlign val="baseline"/>
        <sz val="16"/>
        <color theme="1"/>
        <name val="Optima"/>
        <family val="2"/>
        <scheme val="none"/>
      </font>
      <numFmt numFmtId="0" formatCode="General"/>
      <alignment horizontal="general" vertical="bottom" textRotation="0" wrapText="1" indent="0" justifyLastLine="0" shrinkToFit="0" readingOrder="0"/>
    </dxf>
    <dxf>
      <font>
        <b val="0"/>
        <i val="0"/>
        <strike val="0"/>
        <outline val="0"/>
        <shadow val="0"/>
        <u val="none"/>
        <vertAlign val="baseline"/>
        <sz val="16"/>
        <color theme="1"/>
        <name val="Optima"/>
        <family val="2"/>
        <scheme val="none"/>
      </font>
      <numFmt numFmtId="0" formatCode="General"/>
      <alignment horizontal="general" vertical="bottom" textRotation="0" wrapText="1" indent="0" justifyLastLine="0" shrinkToFit="0" readingOrder="0"/>
    </dxf>
    <dxf>
      <font>
        <b val="0"/>
        <i val="0"/>
        <strike val="0"/>
        <outline val="0"/>
        <shadow val="0"/>
        <u val="none"/>
        <vertAlign val="baseline"/>
        <sz val="16"/>
        <color theme="1"/>
        <name val="Optima"/>
        <family val="2"/>
        <scheme val="none"/>
      </font>
      <numFmt numFmtId="0" formatCode="General"/>
      <alignment horizontal="general" vertical="bottom" textRotation="0" wrapText="1" indent="0" justifyLastLine="0" shrinkToFit="0" readingOrder="0"/>
    </dxf>
    <dxf>
      <font>
        <b val="0"/>
        <i val="0"/>
        <strike val="0"/>
        <outline val="0"/>
        <shadow val="0"/>
        <u val="none"/>
        <vertAlign val="baseline"/>
        <sz val="16"/>
        <color theme="1"/>
        <name val="Optima"/>
        <family val="2"/>
        <scheme val="none"/>
      </font>
      <numFmt numFmtId="0" formatCode="General"/>
      <alignment horizontal="general" vertical="bottom" textRotation="0" wrapText="1" indent="0" justifyLastLine="0" shrinkToFit="0" readingOrder="0"/>
    </dxf>
    <dxf>
      <font>
        <b val="0"/>
        <i val="0"/>
        <strike val="0"/>
        <outline val="0"/>
        <shadow val="0"/>
        <u val="none"/>
        <vertAlign val="baseline"/>
        <sz val="16"/>
        <color theme="1"/>
        <name val="Optima"/>
        <family val="2"/>
        <scheme val="none"/>
      </font>
      <alignment horizontal="left" vertical="bottom" textRotation="0" wrapText="1" indent="0" justifyLastLine="0" shrinkToFit="0" readingOrder="0"/>
      <border diagonalUp="0" diagonalDown="0">
        <left/>
        <right/>
        <top style="thin">
          <color auto="1"/>
        </top>
        <bottom style="thin">
          <color auto="1"/>
        </bottom>
        <vertical/>
        <horizontal style="thin">
          <color auto="1"/>
        </horizontal>
      </border>
    </dxf>
    <dxf>
      <font>
        <b val="0"/>
        <i val="0"/>
        <strike val="0"/>
        <outline val="0"/>
        <shadow val="0"/>
        <u val="none"/>
        <vertAlign val="baseline"/>
        <sz val="16"/>
        <color theme="1"/>
        <name val="Optima"/>
        <family val="2"/>
        <scheme val="none"/>
      </font>
    </dxf>
    <dxf>
      <font>
        <b val="0"/>
        <i val="0"/>
        <strike val="0"/>
        <outline val="0"/>
        <shadow val="0"/>
        <u val="none"/>
        <vertAlign val="baseline"/>
        <sz val="16"/>
        <color theme="1"/>
        <name val="Optima"/>
        <family val="2"/>
        <scheme val="none"/>
      </font>
      <numFmt numFmtId="19" formatCode="m/d/yy"/>
    </dxf>
    <dxf>
      <font>
        <b val="0"/>
        <i val="0"/>
        <strike val="0"/>
        <outline val="0"/>
        <shadow val="0"/>
        <u val="none"/>
        <vertAlign val="baseline"/>
        <sz val="16"/>
        <color theme="1"/>
        <name val="Optima"/>
        <family val="2"/>
        <scheme val="none"/>
      </font>
      <numFmt numFmtId="19" formatCode="m/d/yy"/>
    </dxf>
    <dxf>
      <font>
        <b val="0"/>
        <i val="0"/>
        <strike val="0"/>
        <outline val="0"/>
        <shadow val="0"/>
        <u val="none"/>
        <vertAlign val="baseline"/>
        <sz val="16"/>
        <color theme="1"/>
        <name val="Optima"/>
        <family val="2"/>
        <scheme val="none"/>
      </font>
    </dxf>
    <dxf>
      <font>
        <b val="0"/>
        <i val="0"/>
        <strike val="0"/>
        <outline val="0"/>
        <shadow val="0"/>
        <u val="none"/>
        <vertAlign val="baseline"/>
        <sz val="16"/>
        <color theme="1"/>
        <name val="Optima"/>
        <family val="2"/>
        <scheme val="none"/>
      </font>
    </dxf>
    <dxf>
      <numFmt numFmtId="2" formatCode="0.00"/>
    </dxf>
    <dxf>
      <numFmt numFmtId="0" formatCode="General"/>
      <alignment horizontal="right" vertical="bottom" textRotation="0" wrapText="0" indent="0" justifyLastLine="0" shrinkToFit="0" readingOrder="0"/>
    </dxf>
    <dxf>
      <numFmt numFmtId="2" formatCode="0.00"/>
    </dxf>
    <dxf>
      <numFmt numFmtId="0" formatCode="General"/>
      <alignment horizontal="right" vertical="bottom" textRotation="0" wrapText="0" indent="0" justifyLastLine="0" shrinkToFit="0" readingOrder="0"/>
    </dxf>
    <dxf>
      <numFmt numFmtId="2" formatCode="0.00"/>
    </dxf>
    <dxf>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2"/>
        <color rgb="FF000000"/>
        <name val="Aptos Narrow"/>
        <family val="2"/>
        <scheme val="none"/>
      </font>
      <alignment horizontal="general" vertical="bottom" textRotation="0" wrapText="1" indent="0" justifyLastLine="0" shrinkToFit="0" readingOrder="0"/>
    </dxf>
    <dxf>
      <font>
        <sz val="12"/>
        <color rgb="FF000000"/>
        <name val="Aptos Narrow"/>
        <family val="2"/>
        <scheme val="none"/>
      </font>
      <numFmt numFmtId="0" formatCode="General"/>
      <alignment horizontal="general"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[AppReviews.xlsm]Speed!PivotTable2</c:name>
    <c:fmtId val="5"/>
  </c:pivotSource>
  <c:chart>
    <c:title>
      <c:tx>
        <c:strRef>
          <c:f>Speed!$A$3</c:f>
          <c:strCache>
            <c:ptCount val="1"/>
            <c:pt idx="0">
              <c:v>Speed NPS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Speed!$A$3</c:f>
              <c:strCache>
                <c:ptCount val="1"/>
                <c:pt idx="0">
                  <c:v>Total</c:v>
                </c:pt>
              </c:strCache>
            </c:strRef>
          </c:tx>
          <c:spPr>
            <a:ln w="28575" cap="rnd">
              <a:solidFill>
                <a:schemeClr val="accent1"/>
              </a:solidFill>
              <a:round/>
            </a:ln>
            <a:effectLst/>
          </c:spPr>
          <c:marker>
            <c:symbol val="none"/>
          </c:marker>
          <c:cat>
            <c:strRef>
              <c:f>Speed!$A$3</c:f>
              <c:strCache>
                <c:ptCount val="12"/>
                <c:pt idx="0">
                  <c:v>2026-01</c:v>
                </c:pt>
                <c:pt idx="1">
                  <c:v>2026-02</c:v>
                </c:pt>
                <c:pt idx="2">
                  <c:v>2026-03</c:v>
                </c:pt>
                <c:pt idx="3">
                  <c:v>2026-04</c:v>
                </c:pt>
                <c:pt idx="4">
                  <c:v>2026-05</c:v>
                </c:pt>
                <c:pt idx="5">
                  <c:v>2026-06</c:v>
                </c:pt>
                <c:pt idx="6">
                  <c:v>2026-07</c:v>
                </c:pt>
                <c:pt idx="7">
                  <c:v>2026-08</c:v>
                </c:pt>
                <c:pt idx="8">
                  <c:v>2026-09</c:v>
                </c:pt>
                <c:pt idx="9">
                  <c:v>2026-10</c:v>
                </c:pt>
                <c:pt idx="10">
                  <c:v>2026-11</c:v>
                </c:pt>
                <c:pt idx="11">
                  <c:v>2026-12</c:v>
                </c:pt>
              </c:strCache>
            </c:strRef>
          </c:cat>
          <c:val>
            <c:numRef>
              <c:f>Speed!$A$3</c:f>
              <c:numCache>
                <c:formatCode>General</c:formatCode>
                <c:ptCount val="12"/>
                <c:pt idx="0">
                  <c:v>-100</c:v>
                </c:pt>
                <c:pt idx="1">
                  <c:v>-100</c:v>
                </c:pt>
                <c:pt idx="2">
                  <c:v>-77.777777777777771</c:v>
                </c:pt>
                <c:pt idx="3">
                  <c:v>-12.5</c:v>
                </c:pt>
                <c:pt idx="4">
                  <c:v>0</c:v>
                </c:pt>
                <c:pt idx="5">
                  <c:v>50</c:v>
                </c:pt>
                <c:pt idx="6">
                  <c:v>50</c:v>
                </c:pt>
                <c:pt idx="7">
                  <c:v>20</c:v>
                </c:pt>
                <c:pt idx="8">
                  <c:v>50</c:v>
                </c:pt>
                <c:pt idx="9">
                  <c:v>33.333333333333336</c:v>
                </c:pt>
                <c:pt idx="10">
                  <c:v>33.333333333333336</c:v>
                </c:pt>
                <c:pt idx="11">
                  <c:v>60</c:v>
                </c:pt>
              </c:numCache>
            </c:numRef>
          </c:val>
          <c:smooth val="0"/>
          <c:extLst>
            <c:ext xmlns:c16="http://schemas.microsoft.com/office/drawing/2014/chart" uri="{C3380CC4-5D6E-409C-BE32-E72D297353CC}">
              <c16:uniqueId val="{00000000-7E3B-1443-8E1D-1A5BF5509BB6}"/>
            </c:ext>
          </c:extLst>
        </c:ser>
        <c:dLbls>
          <c:showLegendKey val="0"/>
          <c:showVal val="0"/>
          <c:showCatName val="0"/>
          <c:showSerName val="0"/>
          <c:showPercent val="0"/>
          <c:showBubbleSize val="0"/>
        </c:dLbls>
        <c:smooth val="0"/>
        <c:axId val="1712006064"/>
        <c:axId val="706403696"/>
      </c:lineChart>
      <c:catAx>
        <c:axId val="1712006064"/>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403696"/>
        <c:crosses val="max"/>
        <c:auto val="1"/>
        <c:lblAlgn val="ctr"/>
        <c:lblOffset val="100"/>
        <c:noMultiLvlLbl val="0"/>
      </c:catAx>
      <c:valAx>
        <c:axId val="706403696"/>
        <c:scaling>
          <c:orientation val="minMax"/>
          <c:max val="1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2006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[AppReviews.xlsm]Functionality!PivotTable2</c:name>
    <c:fmtId val="7"/>
  </c:pivotSource>
  <c:chart>
    <c:title>
      <c:tx>
        <c:strRef>
          <c:f>Functionality!$A$3</c:f>
          <c:strCache>
            <c:ptCount val="1"/>
            <c:pt idx="0">
              <c:v>Functionality NPS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Functionality!$A$3</c:f>
              <c:strCache>
                <c:ptCount val="1"/>
                <c:pt idx="0">
                  <c:v>Total</c:v>
                </c:pt>
              </c:strCache>
            </c:strRef>
          </c:tx>
          <c:spPr>
            <a:ln w="28575" cap="rnd">
              <a:solidFill>
                <a:schemeClr val="accent1"/>
              </a:solidFill>
              <a:round/>
            </a:ln>
            <a:effectLst/>
          </c:spPr>
          <c:marker>
            <c:symbol val="none"/>
          </c:marker>
          <c:cat>
            <c:strRef>
              <c:f>Functionality!$A$3</c:f>
              <c:strCache>
                <c:ptCount val="12"/>
                <c:pt idx="0">
                  <c:v>2026-01</c:v>
                </c:pt>
                <c:pt idx="1">
                  <c:v>2026-02</c:v>
                </c:pt>
                <c:pt idx="2">
                  <c:v>2026-03</c:v>
                </c:pt>
                <c:pt idx="3">
                  <c:v>2026-04</c:v>
                </c:pt>
                <c:pt idx="4">
                  <c:v>2026-05</c:v>
                </c:pt>
                <c:pt idx="5">
                  <c:v>2026-06</c:v>
                </c:pt>
                <c:pt idx="6">
                  <c:v>2026-07</c:v>
                </c:pt>
                <c:pt idx="7">
                  <c:v>2026-08</c:v>
                </c:pt>
                <c:pt idx="8">
                  <c:v>2026-09</c:v>
                </c:pt>
                <c:pt idx="9">
                  <c:v>2026-10</c:v>
                </c:pt>
                <c:pt idx="10">
                  <c:v>2026-11</c:v>
                </c:pt>
                <c:pt idx="11">
                  <c:v>2026-12</c:v>
                </c:pt>
              </c:strCache>
            </c:strRef>
          </c:cat>
          <c:val>
            <c:numRef>
              <c:f>Functionality!$A$3</c:f>
              <c:numCache>
                <c:formatCode>General</c:formatCode>
                <c:ptCount val="12"/>
                <c:pt idx="0">
                  <c:v>-100</c:v>
                </c:pt>
                <c:pt idx="1">
                  <c:v>-100</c:v>
                </c:pt>
                <c:pt idx="2">
                  <c:v>-88.888888888888886</c:v>
                </c:pt>
                <c:pt idx="3">
                  <c:v>-12.5</c:v>
                </c:pt>
                <c:pt idx="4">
                  <c:v>10</c:v>
                </c:pt>
                <c:pt idx="5">
                  <c:v>62.5</c:v>
                </c:pt>
                <c:pt idx="6">
                  <c:v>62.5</c:v>
                </c:pt>
                <c:pt idx="7">
                  <c:v>40</c:v>
                </c:pt>
                <c:pt idx="8">
                  <c:v>75</c:v>
                </c:pt>
                <c:pt idx="9">
                  <c:v>55.555555555555557</c:v>
                </c:pt>
                <c:pt idx="10">
                  <c:v>66.666666666666671</c:v>
                </c:pt>
                <c:pt idx="11">
                  <c:v>60</c:v>
                </c:pt>
              </c:numCache>
            </c:numRef>
          </c:val>
          <c:smooth val="0"/>
          <c:extLst>
            <c:ext xmlns:c16="http://schemas.microsoft.com/office/drawing/2014/chart" uri="{C3380CC4-5D6E-409C-BE32-E72D297353CC}">
              <c16:uniqueId val="{00000000-14E7-6148-8184-FA02B776CD72}"/>
            </c:ext>
          </c:extLst>
        </c:ser>
        <c:dLbls>
          <c:showLegendKey val="0"/>
          <c:showVal val="0"/>
          <c:showCatName val="0"/>
          <c:showSerName val="0"/>
          <c:showPercent val="0"/>
          <c:showBubbleSize val="0"/>
        </c:dLbls>
        <c:smooth val="0"/>
        <c:axId val="1712006064"/>
        <c:axId val="706403696"/>
      </c:lineChart>
      <c:catAx>
        <c:axId val="1712006064"/>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403696"/>
        <c:crosses val="max"/>
        <c:auto val="1"/>
        <c:lblAlgn val="ctr"/>
        <c:lblOffset val="100"/>
        <c:noMultiLvlLbl val="0"/>
      </c:catAx>
      <c:valAx>
        <c:axId val="706403696"/>
        <c:scaling>
          <c:orientation val="minMax"/>
          <c:max val="120"/>
          <c:min val="-1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2006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[AppReviews.xlsm]Stability!PivotTable2</c:name>
    <c:fmtId val="7"/>
  </c:pivotSource>
  <c:chart>
    <c:title>
      <c:tx>
        <c:strRef>
          <c:f>Stability!$A$3</c:f>
          <c:strCache>
            <c:ptCount val="1"/>
            <c:pt idx="0">
              <c:v>Stability NPS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Stability!$A$3</c:f>
              <c:strCache>
                <c:ptCount val="1"/>
                <c:pt idx="0">
                  <c:v>Total</c:v>
                </c:pt>
              </c:strCache>
            </c:strRef>
          </c:tx>
          <c:spPr>
            <a:ln w="28575" cap="rnd">
              <a:solidFill>
                <a:schemeClr val="accent1"/>
              </a:solidFill>
              <a:round/>
            </a:ln>
            <a:effectLst/>
          </c:spPr>
          <c:marker>
            <c:symbol val="none"/>
          </c:marker>
          <c:cat>
            <c:strRef>
              <c:f>Stability!$A$3</c:f>
              <c:strCache>
                <c:ptCount val="12"/>
                <c:pt idx="0">
                  <c:v>2026-01</c:v>
                </c:pt>
                <c:pt idx="1">
                  <c:v>2026-02</c:v>
                </c:pt>
                <c:pt idx="2">
                  <c:v>2026-03</c:v>
                </c:pt>
                <c:pt idx="3">
                  <c:v>2026-04</c:v>
                </c:pt>
                <c:pt idx="4">
                  <c:v>2026-05</c:v>
                </c:pt>
                <c:pt idx="5">
                  <c:v>2026-06</c:v>
                </c:pt>
                <c:pt idx="6">
                  <c:v>2026-07</c:v>
                </c:pt>
                <c:pt idx="7">
                  <c:v>2026-08</c:v>
                </c:pt>
                <c:pt idx="8">
                  <c:v>2026-09</c:v>
                </c:pt>
                <c:pt idx="9">
                  <c:v>2026-10</c:v>
                </c:pt>
                <c:pt idx="10">
                  <c:v>2026-11</c:v>
                </c:pt>
                <c:pt idx="11">
                  <c:v>2026-12</c:v>
                </c:pt>
              </c:strCache>
            </c:strRef>
          </c:cat>
          <c:val>
            <c:numRef>
              <c:f>Stability!$A$3</c:f>
              <c:numCache>
                <c:formatCode>General</c:formatCode>
                <c:ptCount val="12"/>
                <c:pt idx="0">
                  <c:v>-100</c:v>
                </c:pt>
                <c:pt idx="1">
                  <c:v>-100</c:v>
                </c:pt>
                <c:pt idx="2">
                  <c:v>-77.777777777777771</c:v>
                </c:pt>
                <c:pt idx="3">
                  <c:v>0</c:v>
                </c:pt>
                <c:pt idx="4">
                  <c:v>10</c:v>
                </c:pt>
                <c:pt idx="5">
                  <c:v>62.5</c:v>
                </c:pt>
                <c:pt idx="6">
                  <c:v>75</c:v>
                </c:pt>
                <c:pt idx="7">
                  <c:v>60</c:v>
                </c:pt>
                <c:pt idx="8">
                  <c:v>75</c:v>
                </c:pt>
                <c:pt idx="9">
                  <c:v>55.555555555555557</c:v>
                </c:pt>
                <c:pt idx="10">
                  <c:v>88.888888888888886</c:v>
                </c:pt>
                <c:pt idx="11">
                  <c:v>80</c:v>
                </c:pt>
              </c:numCache>
            </c:numRef>
          </c:val>
          <c:smooth val="0"/>
          <c:extLst>
            <c:ext xmlns:c16="http://schemas.microsoft.com/office/drawing/2014/chart" uri="{C3380CC4-5D6E-409C-BE32-E72D297353CC}">
              <c16:uniqueId val="{00000000-6DB7-D24F-B58F-117BE61A5E0D}"/>
            </c:ext>
          </c:extLst>
        </c:ser>
        <c:dLbls>
          <c:showLegendKey val="0"/>
          <c:showVal val="0"/>
          <c:showCatName val="0"/>
          <c:showSerName val="0"/>
          <c:showPercent val="0"/>
          <c:showBubbleSize val="0"/>
        </c:dLbls>
        <c:smooth val="0"/>
        <c:axId val="1712006064"/>
        <c:axId val="706403696"/>
      </c:lineChart>
      <c:catAx>
        <c:axId val="1712006064"/>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403696"/>
        <c:crosses val="max"/>
        <c:auto val="1"/>
        <c:lblAlgn val="ctr"/>
        <c:lblOffset val="100"/>
        <c:noMultiLvlLbl val="0"/>
      </c:catAx>
      <c:valAx>
        <c:axId val="706403696"/>
        <c:scaling>
          <c:orientation val="minMax"/>
          <c:max val="120"/>
          <c:min val="-1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2006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[AppReviews.xlsm]Speed!PivotTable2</c:name>
    <c:fmtId val="0"/>
  </c:pivotSource>
  <c:chart>
    <c:title>
      <c:tx>
        <c:strRef>
          <c:f>Speed!$A$3</c:f>
          <c:strCache>
            <c:ptCount val="1"/>
            <c:pt idx="0">
              <c:v>Speed NPS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Speed!$A$3</c:f>
              <c:strCache>
                <c:ptCount val="1"/>
                <c:pt idx="0">
                  <c:v>Total</c:v>
                </c:pt>
              </c:strCache>
            </c:strRef>
          </c:tx>
          <c:spPr>
            <a:ln w="28575" cap="rnd">
              <a:solidFill>
                <a:schemeClr val="accent1"/>
              </a:solidFill>
              <a:round/>
            </a:ln>
            <a:effectLst/>
          </c:spPr>
          <c:marker>
            <c:symbol val="none"/>
          </c:marker>
          <c:cat>
            <c:strRef>
              <c:f>Speed!$A$3</c:f>
              <c:strCache>
                <c:ptCount val="12"/>
                <c:pt idx="0">
                  <c:v>2026-01</c:v>
                </c:pt>
                <c:pt idx="1">
                  <c:v>2026-02</c:v>
                </c:pt>
                <c:pt idx="2">
                  <c:v>2026-03</c:v>
                </c:pt>
                <c:pt idx="3">
                  <c:v>2026-04</c:v>
                </c:pt>
                <c:pt idx="4">
                  <c:v>2026-05</c:v>
                </c:pt>
                <c:pt idx="5">
                  <c:v>2026-06</c:v>
                </c:pt>
                <c:pt idx="6">
                  <c:v>2026-07</c:v>
                </c:pt>
                <c:pt idx="7">
                  <c:v>2026-08</c:v>
                </c:pt>
                <c:pt idx="8">
                  <c:v>2026-09</c:v>
                </c:pt>
                <c:pt idx="9">
                  <c:v>2026-10</c:v>
                </c:pt>
                <c:pt idx="10">
                  <c:v>2026-11</c:v>
                </c:pt>
                <c:pt idx="11">
                  <c:v>2026-12</c:v>
                </c:pt>
              </c:strCache>
            </c:strRef>
          </c:cat>
          <c:val>
            <c:numRef>
              <c:f>Speed!$A$3</c:f>
              <c:numCache>
                <c:formatCode>General</c:formatCode>
                <c:ptCount val="12"/>
                <c:pt idx="0">
                  <c:v>-100</c:v>
                </c:pt>
                <c:pt idx="1">
                  <c:v>-100</c:v>
                </c:pt>
                <c:pt idx="2">
                  <c:v>-77.777777777777771</c:v>
                </c:pt>
                <c:pt idx="3">
                  <c:v>-12.5</c:v>
                </c:pt>
                <c:pt idx="4">
                  <c:v>0</c:v>
                </c:pt>
                <c:pt idx="5">
                  <c:v>50</c:v>
                </c:pt>
                <c:pt idx="6">
                  <c:v>50</c:v>
                </c:pt>
                <c:pt idx="7">
                  <c:v>20</c:v>
                </c:pt>
                <c:pt idx="8">
                  <c:v>50</c:v>
                </c:pt>
                <c:pt idx="9">
                  <c:v>33.333333333333336</c:v>
                </c:pt>
                <c:pt idx="10">
                  <c:v>33.333333333333336</c:v>
                </c:pt>
                <c:pt idx="11">
                  <c:v>60</c:v>
                </c:pt>
              </c:numCache>
            </c:numRef>
          </c:val>
          <c:smooth val="0"/>
          <c:extLst>
            <c:ext xmlns:c16="http://schemas.microsoft.com/office/drawing/2014/chart" uri="{C3380CC4-5D6E-409C-BE32-E72D297353CC}">
              <c16:uniqueId val="{00000000-E05B-594F-8659-2FE5DF354BB6}"/>
            </c:ext>
          </c:extLst>
        </c:ser>
        <c:dLbls>
          <c:showLegendKey val="0"/>
          <c:showVal val="0"/>
          <c:showCatName val="0"/>
          <c:showSerName val="0"/>
          <c:showPercent val="0"/>
          <c:showBubbleSize val="0"/>
        </c:dLbls>
        <c:smooth val="0"/>
        <c:axId val="1712006064"/>
        <c:axId val="706403696"/>
      </c:lineChart>
      <c:catAx>
        <c:axId val="1712006064"/>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403696"/>
        <c:crosses val="max"/>
        <c:auto val="1"/>
        <c:lblAlgn val="ctr"/>
        <c:lblOffset val="100"/>
        <c:noMultiLvlLbl val="0"/>
      </c:catAx>
      <c:valAx>
        <c:axId val="7064036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2006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[AppReviews.xlsm]Functionality!PivotTable2</c:name>
    <c:fmtId val="3"/>
  </c:pivotSource>
  <c:chart>
    <c:title>
      <c:tx>
        <c:strRef>
          <c:f>Functionality!$A$3</c:f>
          <c:strCache>
            <c:ptCount val="1"/>
            <c:pt idx="0">
              <c:v>Functionality NPS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Functionality!$A$3</c:f>
              <c:strCache>
                <c:ptCount val="1"/>
                <c:pt idx="0">
                  <c:v>Total</c:v>
                </c:pt>
              </c:strCache>
            </c:strRef>
          </c:tx>
          <c:spPr>
            <a:ln w="28575" cap="rnd">
              <a:solidFill>
                <a:schemeClr val="accent1"/>
              </a:solidFill>
              <a:round/>
            </a:ln>
            <a:effectLst/>
          </c:spPr>
          <c:marker>
            <c:symbol val="none"/>
          </c:marker>
          <c:cat>
            <c:strRef>
              <c:f>Functionality!$A$3</c:f>
              <c:strCache>
                <c:ptCount val="12"/>
                <c:pt idx="0">
                  <c:v>2026-01</c:v>
                </c:pt>
                <c:pt idx="1">
                  <c:v>2026-02</c:v>
                </c:pt>
                <c:pt idx="2">
                  <c:v>2026-03</c:v>
                </c:pt>
                <c:pt idx="3">
                  <c:v>2026-04</c:v>
                </c:pt>
                <c:pt idx="4">
                  <c:v>2026-05</c:v>
                </c:pt>
                <c:pt idx="5">
                  <c:v>2026-06</c:v>
                </c:pt>
                <c:pt idx="6">
                  <c:v>2026-07</c:v>
                </c:pt>
                <c:pt idx="7">
                  <c:v>2026-08</c:v>
                </c:pt>
                <c:pt idx="8">
                  <c:v>2026-09</c:v>
                </c:pt>
                <c:pt idx="9">
                  <c:v>2026-10</c:v>
                </c:pt>
                <c:pt idx="10">
                  <c:v>2026-11</c:v>
                </c:pt>
                <c:pt idx="11">
                  <c:v>2026-12</c:v>
                </c:pt>
              </c:strCache>
            </c:strRef>
          </c:cat>
          <c:val>
            <c:numRef>
              <c:f>Functionality!$A$3</c:f>
              <c:numCache>
                <c:formatCode>General</c:formatCode>
                <c:ptCount val="12"/>
                <c:pt idx="0">
                  <c:v>-100</c:v>
                </c:pt>
                <c:pt idx="1">
                  <c:v>-100</c:v>
                </c:pt>
                <c:pt idx="2">
                  <c:v>-88.888888888888886</c:v>
                </c:pt>
                <c:pt idx="3">
                  <c:v>-12.5</c:v>
                </c:pt>
                <c:pt idx="4">
                  <c:v>10</c:v>
                </c:pt>
                <c:pt idx="5">
                  <c:v>62.5</c:v>
                </c:pt>
                <c:pt idx="6">
                  <c:v>62.5</c:v>
                </c:pt>
                <c:pt idx="7">
                  <c:v>40</c:v>
                </c:pt>
                <c:pt idx="8">
                  <c:v>75</c:v>
                </c:pt>
                <c:pt idx="9">
                  <c:v>55.555555555555557</c:v>
                </c:pt>
                <c:pt idx="10">
                  <c:v>66.666666666666671</c:v>
                </c:pt>
                <c:pt idx="11">
                  <c:v>60</c:v>
                </c:pt>
              </c:numCache>
            </c:numRef>
          </c:val>
          <c:smooth val="0"/>
          <c:extLst>
            <c:ext xmlns:c16="http://schemas.microsoft.com/office/drawing/2014/chart" uri="{C3380CC4-5D6E-409C-BE32-E72D297353CC}">
              <c16:uniqueId val="{00000003-D494-3840-921C-572EB6407038}"/>
            </c:ext>
          </c:extLst>
        </c:ser>
        <c:dLbls>
          <c:showLegendKey val="0"/>
          <c:showVal val="0"/>
          <c:showCatName val="0"/>
          <c:showSerName val="0"/>
          <c:showPercent val="0"/>
          <c:showBubbleSize val="0"/>
        </c:dLbls>
        <c:smooth val="0"/>
        <c:axId val="1712006064"/>
        <c:axId val="706403696"/>
      </c:lineChart>
      <c:catAx>
        <c:axId val="1712006064"/>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403696"/>
        <c:crosses val="max"/>
        <c:auto val="1"/>
        <c:lblAlgn val="ctr"/>
        <c:lblOffset val="100"/>
        <c:noMultiLvlLbl val="0"/>
      </c:catAx>
      <c:valAx>
        <c:axId val="7064036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2006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[AppReviews.xlsm]Stability!PivotTable2</c:name>
    <c:fmtId val="5"/>
  </c:pivotSource>
  <c:chart>
    <c:title>
      <c:tx>
        <c:strRef>
          <c:f>Stability!$A$3</c:f>
          <c:strCache>
            <c:ptCount val="1"/>
            <c:pt idx="0">
              <c:v>Stability NPS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Stability!$A$3</c:f>
              <c:strCache>
                <c:ptCount val="1"/>
                <c:pt idx="0">
                  <c:v>Total</c:v>
                </c:pt>
              </c:strCache>
            </c:strRef>
          </c:tx>
          <c:spPr>
            <a:ln w="28575" cap="rnd">
              <a:solidFill>
                <a:schemeClr val="accent1"/>
              </a:solidFill>
              <a:round/>
            </a:ln>
            <a:effectLst/>
          </c:spPr>
          <c:marker>
            <c:symbol val="none"/>
          </c:marker>
          <c:cat>
            <c:strRef>
              <c:f>Stability!$A$3</c:f>
              <c:strCache>
                <c:ptCount val="12"/>
                <c:pt idx="0">
                  <c:v>2026-01</c:v>
                </c:pt>
                <c:pt idx="1">
                  <c:v>2026-02</c:v>
                </c:pt>
                <c:pt idx="2">
                  <c:v>2026-03</c:v>
                </c:pt>
                <c:pt idx="3">
                  <c:v>2026-04</c:v>
                </c:pt>
                <c:pt idx="4">
                  <c:v>2026-05</c:v>
                </c:pt>
                <c:pt idx="5">
                  <c:v>2026-06</c:v>
                </c:pt>
                <c:pt idx="6">
                  <c:v>2026-07</c:v>
                </c:pt>
                <c:pt idx="7">
                  <c:v>2026-08</c:v>
                </c:pt>
                <c:pt idx="8">
                  <c:v>2026-09</c:v>
                </c:pt>
                <c:pt idx="9">
                  <c:v>2026-10</c:v>
                </c:pt>
                <c:pt idx="10">
                  <c:v>2026-11</c:v>
                </c:pt>
                <c:pt idx="11">
                  <c:v>2026-12</c:v>
                </c:pt>
              </c:strCache>
            </c:strRef>
          </c:cat>
          <c:val>
            <c:numRef>
              <c:f>Stability!$A$3</c:f>
              <c:numCache>
                <c:formatCode>General</c:formatCode>
                <c:ptCount val="12"/>
                <c:pt idx="0">
                  <c:v>-100</c:v>
                </c:pt>
                <c:pt idx="1">
                  <c:v>-100</c:v>
                </c:pt>
                <c:pt idx="2">
                  <c:v>-77.777777777777771</c:v>
                </c:pt>
                <c:pt idx="3">
                  <c:v>0</c:v>
                </c:pt>
                <c:pt idx="4">
                  <c:v>10</c:v>
                </c:pt>
                <c:pt idx="5">
                  <c:v>62.5</c:v>
                </c:pt>
                <c:pt idx="6">
                  <c:v>75</c:v>
                </c:pt>
                <c:pt idx="7">
                  <c:v>60</c:v>
                </c:pt>
                <c:pt idx="8">
                  <c:v>75</c:v>
                </c:pt>
                <c:pt idx="9">
                  <c:v>55.555555555555557</c:v>
                </c:pt>
                <c:pt idx="10">
                  <c:v>88.888888888888886</c:v>
                </c:pt>
                <c:pt idx="11">
                  <c:v>80</c:v>
                </c:pt>
              </c:numCache>
            </c:numRef>
          </c:val>
          <c:smooth val="0"/>
          <c:extLst>
            <c:ext xmlns:c16="http://schemas.microsoft.com/office/drawing/2014/chart" uri="{C3380CC4-5D6E-409C-BE32-E72D297353CC}">
              <c16:uniqueId val="{00000003-8DCD-8345-9A21-5DC076F061B0}"/>
            </c:ext>
          </c:extLst>
        </c:ser>
        <c:dLbls>
          <c:showLegendKey val="0"/>
          <c:showVal val="0"/>
          <c:showCatName val="0"/>
          <c:showSerName val="0"/>
          <c:showPercent val="0"/>
          <c:showBubbleSize val="0"/>
        </c:dLbls>
        <c:smooth val="0"/>
        <c:axId val="1712006064"/>
        <c:axId val="706403696"/>
      </c:lineChart>
      <c:catAx>
        <c:axId val="1712006064"/>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403696"/>
        <c:crosses val="max"/>
        <c:auto val="1"/>
        <c:lblAlgn val="ctr"/>
        <c:lblOffset val="100"/>
        <c:noMultiLvlLbl val="0"/>
      </c:catAx>
      <c:valAx>
        <c:axId val="7064036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2006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editAs="absolute">
    <xdr:from>
      <xdr:col>0</xdr:col>
      <xdr:colOff>88900</xdr:colOff>
      <xdr:row>1</xdr:row>
      <xdr:rowOff>12700</xdr:rowOff>
    </xdr:from>
    <xdr:to>
      <xdr:col>6</xdr:col>
      <xdr:colOff>304800</xdr:colOff>
      <xdr:row>26</xdr:row>
      <xdr:rowOff>76200</xdr:rowOff>
    </xdr:to>
    <xdr:graphicFrame macro="">
      <xdr:nvGraphicFramePr>
        <xdr:cNvPr id="2" name="Chart 1">
          <a:extLst>
            <a:ext uri="{FF2B5EF4-FFF2-40B4-BE49-F238E27FC236}">
              <a16:creationId xmlns:a16="http://schemas.microsoft.com/office/drawing/2014/main" id="{5E01D5AF-ED1F-F540-AE80-FB09BA74CA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495300</xdr:colOff>
      <xdr:row>1</xdr:row>
      <xdr:rowOff>12700</xdr:rowOff>
    </xdr:from>
    <xdr:to>
      <xdr:col>13</xdr:col>
      <xdr:colOff>139700</xdr:colOff>
      <xdr:row>26</xdr:row>
      <xdr:rowOff>88900</xdr:rowOff>
    </xdr:to>
    <xdr:graphicFrame macro="">
      <xdr:nvGraphicFramePr>
        <xdr:cNvPr id="3" name="Chart 2">
          <a:extLst>
            <a:ext uri="{FF2B5EF4-FFF2-40B4-BE49-F238E27FC236}">
              <a16:creationId xmlns:a16="http://schemas.microsoft.com/office/drawing/2014/main" id="{5DC3ECC0-02DC-C347-9A9B-68A8E2B4625D}"/>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13</xdr:col>
      <xdr:colOff>279400</xdr:colOff>
      <xdr:row>0</xdr:row>
      <xdr:rowOff>152400</xdr:rowOff>
    </xdr:from>
    <xdr:to>
      <xdr:col>19</xdr:col>
      <xdr:colOff>406400</xdr:colOff>
      <xdr:row>26</xdr:row>
      <xdr:rowOff>76200</xdr:rowOff>
    </xdr:to>
    <xdr:graphicFrame macro="">
      <xdr:nvGraphicFramePr>
        <xdr:cNvPr id="4" name="Chart 3">
          <a:extLst>
            <a:ext uri="{FF2B5EF4-FFF2-40B4-BE49-F238E27FC236}">
              <a16:creationId xmlns:a16="http://schemas.microsoft.com/office/drawing/2014/main" id="{6F398852-1328-6741-BE32-F0C59DAC299F}"/>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7</xdr:col>
      <xdr:colOff>292100</xdr:colOff>
      <xdr:row>24</xdr:row>
      <xdr:rowOff>177801</xdr:rowOff>
    </xdr:from>
    <xdr:to>
      <xdr:col>13</xdr:col>
      <xdr:colOff>228600</xdr:colOff>
      <xdr:row>31</xdr:row>
      <xdr:rowOff>50800</xdr:rowOff>
    </xdr:to>
    <mc:AlternateContent xmlns:mc="http://schemas.openxmlformats.org/markup-compatibility/2006" xmlns:a14="http://schemas.microsoft.com/office/drawing/2010/main">
      <mc:Choice Requires="a14">
        <xdr:graphicFrame macro="">
          <xdr:nvGraphicFramePr>
            <xdr:cNvPr id="5" name="Source 3">
              <a:extLst>
                <a:ext uri="{FF2B5EF4-FFF2-40B4-BE49-F238E27FC236}">
                  <a16:creationId xmlns:a16="http://schemas.microsoft.com/office/drawing/2014/main" id="{EF11A379-BDD2-BDF9-8985-9FC5B48678A4}"/>
                </a:ext>
              </a:extLst>
            </xdr:cNvPr>
            <xdr:cNvGraphicFramePr/>
          </xdr:nvGraphicFramePr>
          <xdr:xfrm>
            <a:off x="0" y="0"/>
            <a:ext cx="0" cy="0"/>
          </xdr:xfrm>
          <a:graphic>
            <a:graphicData uri="http://schemas.microsoft.com/office/drawing/2010/slicer">
              <sle:slicer xmlns:sle="http://schemas.microsoft.com/office/drawing/2010/slicer" name="Source 3"/>
            </a:graphicData>
          </a:graphic>
        </xdr:graphicFrame>
      </mc:Choice>
      <mc:Fallback xmlns="">
        <xdr:sp macro="" textlink="">
          <xdr:nvSpPr>
            <xdr:cNvPr id="0" name=""/>
            <xdr:cNvSpPr>
              <a:spLocks noTextEdit="1"/>
            </xdr:cNvSpPr>
          </xdr:nvSpPr>
          <xdr:spPr>
            <a:xfrm>
              <a:off x="6070600" y="4749801"/>
              <a:ext cx="4889500" cy="12064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833120</xdr:colOff>
      <xdr:row>1</xdr:row>
      <xdr:rowOff>2540</xdr:rowOff>
    </xdr:from>
    <xdr:to>
      <xdr:col>7</xdr:col>
      <xdr:colOff>675640</xdr:colOff>
      <xdr:row>18</xdr:row>
      <xdr:rowOff>78740</xdr:rowOff>
    </xdr:to>
    <xdr:graphicFrame macro="">
      <xdr:nvGraphicFramePr>
        <xdr:cNvPr id="2" name="Chart 1">
          <a:extLst>
            <a:ext uri="{FF2B5EF4-FFF2-40B4-BE49-F238E27FC236}">
              <a16:creationId xmlns:a16="http://schemas.microsoft.com/office/drawing/2014/main" id="{BC5B1383-1371-2CD2-850C-94FAA7A74BA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363220</xdr:colOff>
      <xdr:row>2</xdr:row>
      <xdr:rowOff>2540</xdr:rowOff>
    </xdr:from>
    <xdr:to>
      <xdr:col>9</xdr:col>
      <xdr:colOff>764540</xdr:colOff>
      <xdr:row>14</xdr:row>
      <xdr:rowOff>145409</xdr:rowOff>
    </xdr:to>
    <mc:AlternateContent xmlns:mc="http://schemas.openxmlformats.org/markup-compatibility/2006" xmlns:a14="http://schemas.microsoft.com/office/drawing/2010/main">
      <mc:Choice Requires="a14">
        <xdr:graphicFrame macro="">
          <xdr:nvGraphicFramePr>
            <xdr:cNvPr id="5" name="Source">
              <a:extLst>
                <a:ext uri="{FF2B5EF4-FFF2-40B4-BE49-F238E27FC236}">
                  <a16:creationId xmlns:a16="http://schemas.microsoft.com/office/drawing/2014/main" id="{9E74F629-CF5D-E18C-555F-511B35BC9B51}"/>
                </a:ext>
              </a:extLst>
            </xdr:cNvPr>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9039860" y="388620"/>
              <a:ext cx="1833880" cy="24593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2</xdr:col>
      <xdr:colOff>294640</xdr:colOff>
      <xdr:row>1</xdr:row>
      <xdr:rowOff>165100</xdr:rowOff>
    </xdr:from>
    <xdr:to>
      <xdr:col>7</xdr:col>
      <xdr:colOff>1478280</xdr:colOff>
      <xdr:row>19</xdr:row>
      <xdr:rowOff>48260</xdr:rowOff>
    </xdr:to>
    <xdr:graphicFrame macro="">
      <xdr:nvGraphicFramePr>
        <xdr:cNvPr id="2" name="Chart 1">
          <a:extLst>
            <a:ext uri="{FF2B5EF4-FFF2-40B4-BE49-F238E27FC236}">
              <a16:creationId xmlns:a16="http://schemas.microsoft.com/office/drawing/2014/main" id="{8667D42A-255B-214E-8C36-9DA3C3591B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7620</xdr:colOff>
      <xdr:row>1</xdr:row>
      <xdr:rowOff>175260</xdr:rowOff>
    </xdr:from>
    <xdr:to>
      <xdr:col>9</xdr:col>
      <xdr:colOff>408940</xdr:colOff>
      <xdr:row>14</xdr:row>
      <xdr:rowOff>125089</xdr:rowOff>
    </xdr:to>
    <mc:AlternateContent xmlns:mc="http://schemas.openxmlformats.org/markup-compatibility/2006" xmlns:a14="http://schemas.microsoft.com/office/drawing/2010/main">
      <mc:Choice Requires="a14">
        <xdr:graphicFrame macro="">
          <xdr:nvGraphicFramePr>
            <xdr:cNvPr id="3" name="Source 1">
              <a:extLst>
                <a:ext uri="{FF2B5EF4-FFF2-40B4-BE49-F238E27FC236}">
                  <a16:creationId xmlns:a16="http://schemas.microsoft.com/office/drawing/2014/main" id="{46CDCC39-02E0-144B-B0F7-EDED4FC98D59}"/>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8968740" y="368300"/>
              <a:ext cx="1833880" cy="24593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7</xdr:col>
      <xdr:colOff>12700</xdr:colOff>
      <xdr:row>2</xdr:row>
      <xdr:rowOff>12700</xdr:rowOff>
    </xdr:from>
    <xdr:to>
      <xdr:col>15</xdr:col>
      <xdr:colOff>502920</xdr:colOff>
      <xdr:row>19</xdr:row>
      <xdr:rowOff>88900</xdr:rowOff>
    </xdr:to>
    <xdr:graphicFrame macro="">
      <xdr:nvGraphicFramePr>
        <xdr:cNvPr id="2" name="Chart 1">
          <a:extLst>
            <a:ext uri="{FF2B5EF4-FFF2-40B4-BE49-F238E27FC236}">
              <a16:creationId xmlns:a16="http://schemas.microsoft.com/office/drawing/2014/main" id="{03CE10B0-239D-544F-8F78-D48AFF6A6E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566420</xdr:colOff>
      <xdr:row>2</xdr:row>
      <xdr:rowOff>2540</xdr:rowOff>
    </xdr:from>
    <xdr:to>
      <xdr:col>6</xdr:col>
      <xdr:colOff>1099820</xdr:colOff>
      <xdr:row>14</xdr:row>
      <xdr:rowOff>145409</xdr:rowOff>
    </xdr:to>
    <mc:AlternateContent xmlns:mc="http://schemas.openxmlformats.org/markup-compatibility/2006" xmlns:a14="http://schemas.microsoft.com/office/drawing/2010/main">
      <mc:Choice Requires="a14">
        <xdr:graphicFrame macro="">
          <xdr:nvGraphicFramePr>
            <xdr:cNvPr id="3" name="Source 2">
              <a:extLst>
                <a:ext uri="{FF2B5EF4-FFF2-40B4-BE49-F238E27FC236}">
                  <a16:creationId xmlns:a16="http://schemas.microsoft.com/office/drawing/2014/main" id="{A041126A-FF80-9642-9C31-C1FB409BAA77}"/>
                </a:ext>
              </a:extLst>
            </xdr:cNvPr>
            <xdr:cNvGraphicFramePr/>
          </xdr:nvGraphicFramePr>
          <xdr:xfrm>
            <a:off x="0" y="0"/>
            <a:ext cx="0" cy="0"/>
          </xdr:xfrm>
          <a:graphic>
            <a:graphicData uri="http://schemas.microsoft.com/office/drawing/2010/slicer">
              <sle:slicer xmlns:sle="http://schemas.microsoft.com/office/drawing/2010/slicer" name="Source 2"/>
            </a:graphicData>
          </a:graphic>
        </xdr:graphicFrame>
      </mc:Choice>
      <mc:Fallback xmlns="">
        <xdr:sp macro="" textlink="">
          <xdr:nvSpPr>
            <xdr:cNvPr id="0" name=""/>
            <xdr:cNvSpPr>
              <a:spLocks noTextEdit="1"/>
            </xdr:cNvSpPr>
          </xdr:nvSpPr>
          <xdr:spPr>
            <a:xfrm>
              <a:off x="5311140" y="388620"/>
              <a:ext cx="1833880" cy="24593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vid Griffiths" refreshedDate="45975.768788657406" createdVersion="8" refreshedVersion="8" minRefreshableVersion="3" recordCount="100" xr:uid="{D90DA07E-B950-8442-8A7F-94C2B0C0ADFF}">
  <cacheSource type="worksheet">
    <worksheetSource name="Table2"/>
  </cacheSource>
  <cacheFields count="10">
    <cacheField name="Month" numFmtId="14">
      <sharedItems count="12">
        <s v="2026-01"/>
        <s v="2026-02"/>
        <s v="2026-03"/>
        <s v="2026-04"/>
        <s v="2026-05"/>
        <s v="2026-06"/>
        <s v="2026-07"/>
        <s v="2026-08"/>
        <s v="2026-09"/>
        <s v="2026-10"/>
        <s v="2026-11"/>
        <s v="2026-12"/>
      </sharedItems>
    </cacheField>
    <cacheField name="Date" numFmtId="14">
      <sharedItems containsSemiMixedTypes="0" containsNonDate="0" containsDate="1" containsString="0" minDate="2026-01-05T00:00:00" maxDate="2026-12-20T00:00:00"/>
    </cacheField>
    <cacheField name="Source" numFmtId="0">
      <sharedItems count="3">
        <s v="Google Play"/>
        <s v="Apple App Store"/>
        <s v="AppReviews"/>
      </sharedItems>
    </cacheField>
    <cacheField name="Review" numFmtId="0">
      <sharedItems/>
    </cacheField>
    <cacheField name="Speed" numFmtId="0">
      <sharedItems containsSemiMixedTypes="0" containsString="0" containsNumber="1" containsInteger="1" minValue="1" maxValue="10"/>
    </cacheField>
    <cacheField name="Functionality" numFmtId="0">
      <sharedItems containsSemiMixedTypes="0" containsString="0" containsNumber="1" containsInteger="1" minValue="1" maxValue="10"/>
    </cacheField>
    <cacheField name="Stability" numFmtId="0">
      <sharedItems containsSemiMixedTypes="0" containsString="0" containsNumber="1" containsInteger="1" minValue="0" maxValue="10"/>
    </cacheField>
    <cacheField name="Speed NPS Contribution" numFmtId="0">
      <sharedItems containsSemiMixedTypes="0" containsString="0" containsNumber="1" containsInteger="1" minValue="-100" maxValue="100"/>
    </cacheField>
    <cacheField name="Functionality NPS Contribution" numFmtId="0">
      <sharedItems containsSemiMixedTypes="0" containsString="0" containsNumber="1" containsInteger="1" minValue="-100" maxValue="100"/>
    </cacheField>
    <cacheField name="Stability NPS Contribution" numFmtId="0">
      <sharedItems containsSemiMixedTypes="0" containsString="0" containsNumber="1" containsInteger="1" minValue="-100" maxValue="100"/>
    </cacheField>
  </cacheFields>
  <extLst>
    <ext xmlns:x14="http://schemas.microsoft.com/office/spreadsheetml/2009/9/main" uri="{725AE2AE-9491-48be-B2B4-4EB974FC3084}">
      <x14:pivotCacheDefinition pivotCacheId="206088036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x v="0"/>
    <d v="2026-01-05T00:00:00"/>
    <x v="0"/>
    <s v="Constant crashes when trying to clock in. Takes forever to load schedules and the app freezes at least twice per shift. Really frustrating when you're trying to start work."/>
    <n v="2"/>
    <n v="2"/>
    <n v="1"/>
    <n v="-100"/>
    <n v="-100"/>
    <n v="-100"/>
  </r>
  <r>
    <x v="0"/>
    <d v="2026-01-12T00:00:00"/>
    <x v="1"/>
    <s v="Performance is terrible. The app is so slow I often miss my clock-in window. Time tracking feature barely works and I've lost hours of logged time. It needs some major improvements."/>
    <n v="2"/>
    <n v="2"/>
    <n v="2"/>
    <n v="-100"/>
    <n v="-100"/>
    <n v="-100"/>
  </r>
  <r>
    <x v="0"/>
    <d v="2026-01-18T00:00:00"/>
    <x v="2"/>
    <s v="Unusable right now. Every time I try to view my schedule the app crashes. Loading times are ridiculous and it drains my battery like crazy. Hope they fix this soon."/>
    <n v="1"/>
    <n v="1"/>
    <n v="0"/>
    <n v="-100"/>
    <n v="-100"/>
    <n v="-100"/>
  </r>
  <r>
    <x v="0"/>
    <d v="2026-01-25T00:00:00"/>
    <x v="0"/>
    <s v="Very buggy. Can't rely on it for time tracking because it keeps logging me out randomly. The shift swap feature doesn't work at all. Performance issues make it hard to use daily."/>
    <n v="2"/>
    <n v="2"/>
    <n v="2"/>
    <n v="-100"/>
    <n v="-100"/>
    <n v="-100"/>
  </r>
  <r>
    <x v="1"/>
    <d v="2026-02-01T00:00:00"/>
    <x v="1"/>
    <s v="Still having major stability problems. App crashes when opening notifications about schedule changes. Takes 3-4 attempts to successfully clock in most days."/>
    <n v="2"/>
    <n v="2"/>
    <n v="2"/>
    <n v="-100"/>
    <n v="-100"/>
    <n v="-100"/>
  </r>
  <r>
    <x v="1"/>
    <d v="2026-02-08T00:00:00"/>
    <x v="2"/>
    <s v="Laggy and unreliable. The app freezes when trying to request time off. Performance is awful especially during peak hours. Can't depend on it for critical workforce functions."/>
    <n v="1"/>
    <n v="2"/>
    <n v="2"/>
    <n v="-100"/>
    <n v="-100"/>
    <n v="-100"/>
  </r>
  <r>
    <x v="1"/>
    <d v="2026-02-15T00:00:00"/>
    <x v="0"/>
    <s v="Disappointed with the stability. Lost my entire week's timesheet yesterday due to a crash. Loading the dashboard takes over a minute. Not ready for production use."/>
    <n v="2"/>
    <n v="2"/>
    <n v="2"/>
    <n v="-100"/>
    <n v="-100"/>
    <n v="-100"/>
  </r>
  <r>
    <x v="1"/>
    <d v="2026-02-22T00:00:00"/>
    <x v="1"/>
    <s v="Performance has been abysmal. The app hangs constantly and I have to force close it multiple times per day. Schedule notifications don't come through half the time."/>
    <n v="1"/>
    <n v="2"/>
    <n v="1"/>
    <n v="-100"/>
    <n v="-100"/>
    <n v="-100"/>
  </r>
  <r>
    <x v="2"/>
    <d v="2026-03-01T00:00:00"/>
    <x v="2"/>
    <s v="Extremely slow and crashes frequently. Trying to clock out takes several minutes if it works at all. The overtime tracking feature is completely broken. Very frustrating experience."/>
    <n v="1"/>
    <n v="1"/>
    <n v="2"/>
    <n v="-100"/>
    <n v="-100"/>
    <n v="-100"/>
  </r>
  <r>
    <x v="2"/>
    <d v="2026-03-08T00:00:00"/>
    <x v="0"/>
    <s v="App is improving slightly but still crashes too often. Performance is better than last month but still slow. At least I can clock in without it freezing now most of the time."/>
    <n v="4"/>
    <n v="6"/>
    <n v="4"/>
    <n v="-100"/>
    <n v="-100"/>
    <n v="-100"/>
  </r>
  <r>
    <x v="2"/>
    <d v="2026-03-15T00:00:00"/>
    <x v="1"/>
    <s v="Seeing some improvements in stability but it's still not great. The app doesn't crash as much but loading times are still painfully slow. Functionality is hit or miss."/>
    <n v="4"/>
    <n v="5"/>
    <n v="5"/>
    <n v="-100"/>
    <n v="-100"/>
    <n v="-100"/>
  </r>
  <r>
    <x v="2"/>
    <d v="2026-03-22T00:00:00"/>
    <x v="2"/>
    <s v="Getting better gradually. Fewer crashes this week though performance is still sluggish. Time tracking seems more reliable now. Still needs work but moving in the right direction."/>
    <n v="5"/>
    <n v="6"/>
    <n v="7"/>
    <n v="-100"/>
    <n v="-100"/>
    <n v="0"/>
  </r>
  <r>
    <x v="2"/>
    <d v="2026-03-29T00:00:00"/>
    <x v="0"/>
    <s v="Notice some performance improvements. The app loads a bit faster and I haven't had a crash in a few days. Shift swapping feature is starting to work more consistently."/>
    <n v="7"/>
    <n v="8"/>
    <n v="8"/>
    <n v="0"/>
    <n v="0"/>
    <n v="0"/>
  </r>
  <r>
    <x v="3"/>
    <d v="2026-04-05T00:00:00"/>
    <x v="1"/>
    <s v="Stability is improving. Still get occasional freezes but it's much better than January. Performance could be faster but at least it's functional now most of the time."/>
    <n v="6"/>
    <n v="6"/>
    <n v="6"/>
    <n v="-100"/>
    <n v="-100"/>
    <n v="-100"/>
  </r>
  <r>
    <x v="3"/>
    <d v="2026-04-12T00:00:00"/>
    <x v="2"/>
    <s v="Progress is being made. The app is more stable and responds better. Had only one crash this week. Loading the schedule is quicker though still not instant."/>
    <n v="7"/>
    <n v="7"/>
    <n v="7"/>
    <n v="0"/>
    <n v="0"/>
    <n v="0"/>
  </r>
  <r>
    <x v="3"/>
    <d v="2026-04-19T00:00:00"/>
    <x v="0"/>
    <s v="Better performance lately. Clock in/out works smoothly most days now. The app still lags sometimes when viewing detailed reports but overall functionality has improved."/>
    <n v="7"/>
    <n v="8"/>
    <n v="7"/>
    <n v="0"/>
    <n v="0"/>
    <n v="0"/>
  </r>
  <r>
    <x v="3"/>
    <d v="2026-04-26T00:00:00"/>
    <x v="1"/>
    <s v="Noticeable improvements in the last few weeks. Crashes are rare now and the app loads faster. Time tracking is much more reliable. Still room for optimization but getting there."/>
    <n v="8"/>
    <n v="8"/>
    <n v="8"/>
    <n v="0"/>
    <n v="0"/>
    <n v="0"/>
  </r>
  <r>
    <x v="4"/>
    <d v="2026-05-03T00:00:00"/>
    <x v="2"/>
    <s v="Performance is decent now. The app doesn't freeze as much and features are more responsive. Stability has improved significantly from the start of the year."/>
    <n v="7"/>
    <n v="8"/>
    <n v="8"/>
    <n v="0"/>
    <n v="0"/>
    <n v="0"/>
  </r>
  <r>
    <x v="4"/>
    <d v="2026-05-10T00:00:00"/>
    <x v="0"/>
    <s v="Much more stable than before. Can actually rely on it for daily time tracking now. Performance is acceptable though it occasionally slows down during shift changes."/>
    <n v="6"/>
    <n v="8"/>
    <n v="8"/>
    <n v="-100"/>
    <n v="0"/>
    <n v="0"/>
  </r>
  <r>
    <x v="4"/>
    <d v="2026-05-17T00:00:00"/>
    <x v="1"/>
    <s v="Good progress on stability. The app works consistently and crashes are uncommon now. Performance is solid for basic features though advanced reporting still lags a bit."/>
    <n v="7"/>
    <n v="7"/>
    <n v="7"/>
    <n v="0"/>
    <n v="0"/>
    <n v="0"/>
  </r>
  <r>
    <x v="4"/>
    <d v="2026-05-24T00:00:00"/>
    <x v="2"/>
    <s v="Functionality has improved a lot. Most features work as expected now and performance is reasonable. Still get the occasional slow response but nothing major."/>
    <n v="7"/>
    <n v="7"/>
    <n v="7"/>
    <n v="0"/>
    <n v="0"/>
    <n v="0"/>
  </r>
  <r>
    <x v="4"/>
    <d v="2026-05-31T00:00:00"/>
    <x v="0"/>
    <s v="Pretty stable lately. Haven't had a crash in over two weeks. Performance is good enough for daily use. Schedule loading is much faster than it used to be."/>
    <n v="7"/>
    <n v="8"/>
    <n v="8"/>
    <n v="0"/>
    <n v="0"/>
    <n v="0"/>
  </r>
  <r>
    <x v="5"/>
    <d v="2026-06-07T00:00:00"/>
    <x v="1"/>
    <s v="App is working well now. Time tracking is reliable and the interface responds quickly. Stability is solid. Only minor performance hiccups occasionally."/>
    <n v="9"/>
    <n v="9"/>
    <n v="8"/>
    <n v="100"/>
    <n v="100"/>
    <n v="0"/>
  </r>
  <r>
    <x v="5"/>
    <d v="2026-06-14T00:00:00"/>
    <x v="2"/>
    <s v="Reliable performance now. The app handles all my shifts without issues. Load times are acceptable and crashes are very rare. Definitely improved since launch."/>
    <n v="8"/>
    <n v="8"/>
    <n v="9"/>
    <n v="0"/>
    <n v="0"/>
    <n v="100"/>
  </r>
  <r>
    <x v="5"/>
    <d v="2026-06-21T00:00:00"/>
    <x v="0"/>
    <s v="Good stability and performance. Can trust the app for accurate time tracking. Features load quickly and everything works smoothly most of the time."/>
    <n v="8"/>
    <n v="9"/>
    <n v="9"/>
    <n v="0"/>
    <n v="100"/>
    <n v="100"/>
  </r>
  <r>
    <x v="5"/>
    <d v="2026-06-28T00:00:00"/>
    <x v="1"/>
    <s v="Working reliably now. Performance is consistently good and I haven't experienced any crashes in weeks. All the workforce features function properly."/>
    <n v="9"/>
    <n v="9"/>
    <n v="9"/>
    <n v="100"/>
    <n v="100"/>
    <n v="100"/>
  </r>
  <r>
    <x v="6"/>
    <d v="2026-07-05T00:00:00"/>
    <x v="2"/>
    <s v="Solid performance throughout. The app is stable and responsive. Time tracking, scheduling, and shift management all work great. Impressed with the turnaround."/>
    <n v="9"/>
    <n v="9"/>
    <n v="9"/>
    <n v="100"/>
    <n v="100"/>
    <n v="100"/>
  </r>
  <r>
    <x v="6"/>
    <d v="2026-07-12T00:00:00"/>
    <x v="0"/>
    <s v="Very stable now. Performance is smooth and features are reliable. Clock in/out happens instantly. The app has come a long way from the beginning of the year."/>
    <n v="9"/>
    <n v="9"/>
    <n v="9"/>
    <n v="100"/>
    <n v="100"/>
    <n v="100"/>
  </r>
  <r>
    <x v="6"/>
    <d v="2026-07-19T00:00:00"/>
    <x v="1"/>
    <s v="Excellent stability. App performs well but it can take a while to launch. All features work as intended and loading times are quick. Really pleased with the improvements made."/>
    <n v="6"/>
    <n v="8"/>
    <n v="9"/>
    <n v="-100"/>
    <n v="0"/>
    <n v="100"/>
  </r>
  <r>
    <x v="6"/>
    <d v="2026-07-26T00:00:00"/>
    <x v="2"/>
    <s v="Great performance now. The app is fast, stable, and all functionality works perfectly. Time tracking is accurate and reliable. No complaints about stability."/>
    <n v="9"/>
    <n v="9"/>
    <n v="10"/>
    <n v="100"/>
    <n v="100"/>
    <n v="100"/>
  </r>
  <r>
    <x v="7"/>
    <d v="2026-08-02T00:00:00"/>
    <x v="0"/>
    <s v="Running smoothly. Performance is excellent and I haven't seen a single crash in over a month. All features respond instantly. Very satisfied with the current state."/>
    <n v="9"/>
    <n v="10"/>
    <n v="9"/>
    <n v="100"/>
    <n v="100"/>
    <n v="100"/>
  </r>
  <r>
    <x v="7"/>
    <d v="2026-08-09T00:00:00"/>
    <x v="1"/>
    <s v="Superb stability. The app is sluggish but handles everything I throw at it. Time tracking, scheduling, and reporting all work flawlessly."/>
    <n v="4"/>
    <n v="8"/>
    <n v="9"/>
    <n v="-100"/>
    <n v="0"/>
    <n v="100"/>
  </r>
  <r>
    <x v="7"/>
    <d v="2026-08-16T00:00:00"/>
    <x v="2"/>
    <s v="Outstanding performance. The app is rock solid now. Zero crashes, instant loading, and all features work perfectly. Complete transformation from January."/>
    <n v="10"/>
    <n v="10"/>
    <n v="10"/>
    <n v="100"/>
    <n v="100"/>
    <n v="100"/>
  </r>
  <r>
    <x v="7"/>
    <d v="2026-08-23T00:00:00"/>
    <x v="0"/>
    <s v="Extremely reliable. Performance is top-notch with no lag whatsoever. All workforce management features operate smoothly. The stability is impressive."/>
    <n v="9"/>
    <n v="9"/>
    <n v="9"/>
    <n v="100"/>
    <n v="100"/>
    <n v="100"/>
  </r>
  <r>
    <x v="7"/>
    <d v="2026-08-30T00:00:00"/>
    <x v="1"/>
    <s v="Perfect stability. App performance is quite poor but everything functions exactly as it should. Time tracking is instantaneous and accurate every time."/>
    <n v="4"/>
    <n v="8"/>
    <n v="9"/>
    <n v="-100"/>
    <n v="0"/>
    <n v="100"/>
  </r>
  <r>
    <x v="8"/>
    <d v="2026-09-06T00:00:00"/>
    <x v="2"/>
    <s v="Flawless performance. The app is incredibly stable with excellent responsiveness. All features work seamlessly. This is what it should have been at launch."/>
    <n v="9"/>
    <n v="9"/>
    <n v="9"/>
    <n v="100"/>
    <n v="100"/>
    <n v="100"/>
  </r>
  <r>
    <x v="8"/>
    <d v="2026-09-13T00:00:00"/>
    <x v="0"/>
    <s v="Amazing turnaround. The app is now fast, stable, and fully functional. Performance is excellent across all features. Haven't had any issues in months."/>
    <n v="9"/>
    <n v="10"/>
    <n v="9"/>
    <n v="100"/>
    <n v="100"/>
    <n v="100"/>
  </r>
  <r>
    <x v="8"/>
    <d v="2026-09-20T00:00:00"/>
    <x v="1"/>
    <s v="Exceptional stability but poor speed. Everything works perfectly. The app handles my entire shift management without any glitches. Highly reliable."/>
    <n v="4"/>
    <n v="9"/>
    <n v="9"/>
    <n v="-100"/>
    <n v="100"/>
    <n v="100"/>
  </r>
  <r>
    <x v="8"/>
    <d v="2026-09-27T00:00:00"/>
    <x v="2"/>
    <s v="Top tier performance now. The app is stable, fast, and feature-complete. Time tracking and scheduling work flawlessly. Very impressed with the improvements."/>
    <n v="9"/>
    <n v="9"/>
    <n v="9"/>
    <n v="100"/>
    <n v="100"/>
    <n v="100"/>
  </r>
  <r>
    <x v="9"/>
    <d v="2026-10-04T00:00:00"/>
    <x v="0"/>
    <s v="Runs perfectly. Performance is outstanding with no slowdowns or crashes. All workforce features are fully functional and responsive. Excellent reliability."/>
    <n v="9"/>
    <n v="10"/>
    <n v="10"/>
    <n v="100"/>
    <n v="100"/>
    <n v="100"/>
  </r>
  <r>
    <x v="9"/>
    <d v="2026-10-11T00:00:00"/>
    <x v="1"/>
    <s v="The app is incredibly stable but very slow. Every feature works smoothly and efficiently. Time tracking has been flawless for months."/>
    <n v="2"/>
    <n v="8"/>
    <n v="9"/>
    <n v="-100"/>
    <n v="0"/>
    <n v="100"/>
  </r>
  <r>
    <x v="9"/>
    <d v="2026-10-18T00:00:00"/>
    <x v="2"/>
    <s v="Impeccable stability. Performance is consistently excellent with zero issues. All functions work perfectly every time. This is now a truly professional-grade app."/>
    <n v="9"/>
    <n v="10"/>
    <n v="10"/>
    <n v="100"/>
    <n v="100"/>
    <n v="100"/>
  </r>
  <r>
    <x v="9"/>
    <d v="2026-10-25T00:00:00"/>
    <x v="0"/>
    <s v="Brilliant performance throughout. The app is rock solid with fantastic speed. All workforce management features operate seamlessly. Couldn't ask for better stability."/>
    <n v="9"/>
    <n v="10"/>
    <n v="10"/>
    <n v="100"/>
    <n v="100"/>
    <n v="100"/>
  </r>
  <r>
    <x v="10"/>
    <d v="2026-11-01T00:00:00"/>
    <x v="1"/>
    <s v="Outstanding reliability. Can start very slowly but zero crashes. Every feature functions perfectly. The team has done an amazing job optimizing this."/>
    <n v="6"/>
    <n v="9"/>
    <n v="9"/>
    <n v="-100"/>
    <n v="100"/>
    <n v="100"/>
  </r>
  <r>
    <x v="10"/>
    <d v="2026-11-08T00:00:00"/>
    <x v="2"/>
    <s v="Phenomenal stability and speed. The app performs flawlessly in every aspect. Time tracking, scheduling, and all features work perfectly. Truly excellent now."/>
    <n v="9"/>
    <n v="10"/>
    <n v="10"/>
    <n v="100"/>
    <n v="100"/>
    <n v="100"/>
  </r>
  <r>
    <x v="10"/>
    <d v="2026-11-15T00:00:00"/>
    <x v="0"/>
    <s v="Perfect performance. The app is extremely stable, super fast, and all functionality works without any issues. Best workforce app I've used. Total transformation since January."/>
    <n v="9"/>
    <n v="10"/>
    <n v="10"/>
    <n v="100"/>
    <n v="100"/>
    <n v="100"/>
  </r>
  <r>
    <x v="10"/>
    <d v="2026-11-22T00:00:00"/>
    <x v="1"/>
    <s v="Excellent. Stability is perfect, performance is bit slow, but all features work seamlessly. The improvements throughout the year have been remarkable."/>
    <n v="6"/>
    <n v="8"/>
    <n v="9"/>
    <n v="-100"/>
    <n v="0"/>
    <n v="100"/>
  </r>
  <r>
    <x v="10"/>
    <d v="2026-11-29T00:00:00"/>
    <x v="2"/>
    <s v="Absolutely reliable now. Performance is outstanding with zero lag or crashes. All workforce management functions operate flawlessly. This app is now best in class."/>
    <n v="9"/>
    <n v="10"/>
    <n v="10"/>
    <n v="100"/>
    <n v="100"/>
    <n v="100"/>
  </r>
  <r>
    <x v="11"/>
    <d v="2026-12-06T00:00:00"/>
    <x v="0"/>
    <s v="Superb performance and stability. The app works perfectly every single time. Fast, reliable, and fully functional. An incredible improvement from where it started."/>
    <n v="9"/>
    <n v="10"/>
    <n v="9"/>
    <n v="100"/>
    <n v="100"/>
    <n v="100"/>
  </r>
  <r>
    <x v="11"/>
    <d v="2026-12-13T00:00:00"/>
    <x v="1"/>
    <s v="Flawless execution. The app is incredibly stable with exceptional performance. All features work seamlessly and instantly. Outstanding workforce management tool now."/>
    <n v="9"/>
    <n v="9"/>
    <n v="10"/>
    <n v="100"/>
    <n v="100"/>
    <n v="100"/>
  </r>
  <r>
    <x v="0"/>
    <d v="2026-01-10T00:00:00"/>
    <x v="0"/>
    <s v="Total disaster. App crashes constantly and wipes my timesheet data. Performance is incredibly sluggish. The whole system is unstable and unreliable right now."/>
    <n v="2"/>
    <n v="2"/>
    <n v="0"/>
    <n v="-100"/>
    <n v="-100"/>
    <n v="-100"/>
  </r>
  <r>
    <x v="0"/>
    <d v="2026-01-17T00:00:00"/>
    <x v="2"/>
    <s v="Can't use this for actual work. Crashes every few minutes and performance is terrible. Loading anything takes forever. Stability issues make this completely unusable."/>
    <n v="2"/>
    <n v="1"/>
    <n v="1"/>
    <n v="-100"/>
    <n v="-100"/>
    <n v="-100"/>
  </r>
  <r>
    <x v="0"/>
    <d v="2026-01-24T00:00:00"/>
    <x v="1"/>
    <s v="Awful performance and constant crashes. The app freezes whenever I try to clock in. Everything is painfully slow and buggy. Completely unreliable."/>
    <n v="1"/>
    <n v="1"/>
    <n v="1"/>
    <n v="-100"/>
    <n v="-100"/>
    <n v="-100"/>
  </r>
  <r>
    <x v="0"/>
    <d v="2026-01-31T00:00:00"/>
    <x v="0"/>
    <s v="Extremely buggy and slow. Lost my entire shift history due to crashes. Performance degrades throughout the day. Can't trust it for workforce tracking at all."/>
    <n v="1"/>
    <n v="2"/>
    <n v="2"/>
    <n v="-100"/>
    <n v="-100"/>
    <n v="-100"/>
  </r>
  <r>
    <x v="1"/>
    <d v="2026-02-07T00:00:00"/>
    <x v="2"/>
    <s v="Stability is nonexistent. The app crashes multiple times per shift. Performance is abysmal with load times over a minute. Features don't work properly at all."/>
    <n v="1"/>
    <n v="2"/>
    <n v="0"/>
    <n v="-100"/>
    <n v="-100"/>
    <n v="-100"/>
  </r>
  <r>
    <x v="1"/>
    <d v="2026-02-14T00:00:00"/>
    <x v="1"/>
    <s v="Still crashes all the time. Performance hasn't improved at all. The app is just as slow and buggy as it was last month. Very disappointed with the lack of progress."/>
    <n v="2"/>
    <n v="2"/>
    <n v="1"/>
    <n v="-100"/>
    <n v="-100"/>
    <n v="-100"/>
  </r>
  <r>
    <x v="1"/>
    <d v="2026-02-21T00:00:00"/>
    <x v="0"/>
    <s v="Major stability problems continue but slightly less frequent. Performance is still very poor though marginally better. The app needs a lot more work."/>
    <n v="4"/>
    <n v="3"/>
    <n v="2"/>
    <n v="-100"/>
    <n v="-100"/>
    <n v="-100"/>
  </r>
  <r>
    <x v="1"/>
    <d v="2026-02-28T00:00:00"/>
    <x v="2"/>
    <s v="Showing some signs of improvement. Crashes are somewhat less frequent now. Performance is still sluggish but the app is becoming slightly more usable."/>
    <n v="4"/>
    <n v="6"/>
    <n v="6"/>
    <n v="-100"/>
    <n v="-100"/>
    <n v="-100"/>
  </r>
  <r>
    <x v="2"/>
    <d v="2026-03-07T00:00:00"/>
    <x v="1"/>
    <s v="No real improvement in performance. Still crashes regularly and everything loads incredibly slowly. The app remains frustratingly unstable and laggy."/>
    <n v="1"/>
    <n v="2"/>
    <n v="2"/>
    <n v="-100"/>
    <n v="-100"/>
    <n v="-100"/>
  </r>
  <r>
    <x v="2"/>
    <d v="2026-03-14T00:00:00"/>
    <x v="0"/>
    <s v="Getting a bit better. Performance has improved slightly and crashes are less common. Still not great but at least it's somewhat functional now."/>
    <n v="5"/>
    <n v="6"/>
    <n v="6"/>
    <n v="-100"/>
    <n v="-100"/>
    <n v="-100"/>
  </r>
  <r>
    <x v="2"/>
    <d v="2026-03-21T00:00:00"/>
    <x v="2"/>
    <s v="Gradual improvements visible. The app crashes less often and responds a bit faster. Stability is improving slowly. Still needs significant work though."/>
    <n v="7"/>
    <n v="6"/>
    <n v="6"/>
    <n v="0"/>
    <n v="-100"/>
    <n v="-100"/>
  </r>
  <r>
    <x v="2"/>
    <d v="2026-03-28T00:00:00"/>
    <x v="1"/>
    <s v="Performance is still terrible. Barely any improvement from January. The app crashes frequently and everything is slow. Really needs optimization work."/>
    <n v="2"/>
    <n v="2"/>
    <n v="2"/>
    <n v="-100"/>
    <n v="-100"/>
    <n v="-100"/>
  </r>
  <r>
    <x v="3"/>
    <d v="2026-04-04T00:00:00"/>
    <x v="0"/>
    <s v="Noticeably better now. Performance is decent and crashes are becoming rare. Most features work reliably. Progress is clearly being made."/>
    <n v="7"/>
    <n v="8"/>
    <n v="8"/>
    <n v="0"/>
    <n v="0"/>
    <n v="0"/>
  </r>
  <r>
    <x v="3"/>
    <d v="2026-04-11T00:00:00"/>
    <x v="2"/>
    <s v="Much more stable lately. Performance has improved significantly. The app loads faster and crashes are uncommon now. Getting to an acceptable level."/>
    <n v="9"/>
    <n v="8"/>
    <n v="9"/>
    <n v="100"/>
    <n v="0"/>
    <n v="100"/>
  </r>
  <r>
    <x v="3"/>
    <d v="2026-04-18T00:00:00"/>
    <x v="1"/>
    <s v="Still having major performance problems. The app is slow and crashes often. Minimal improvement over the past few months. Very frustrating to use."/>
    <n v="2"/>
    <n v="2"/>
    <n v="2"/>
    <n v="-100"/>
    <n v="-100"/>
    <n v="-100"/>
  </r>
  <r>
    <x v="3"/>
    <d v="2026-04-25T00:00:00"/>
    <x v="0"/>
    <s v="Good improvements in stability. Performance is solid now and features work consistently. Crashes are rare. The app is finally reliable for daily use."/>
    <n v="8"/>
    <n v="9"/>
    <n v="9"/>
    <n v="0"/>
    <n v="100"/>
    <n v="100"/>
  </r>
  <r>
    <x v="4"/>
    <d v="2026-05-02T00:00:00"/>
    <x v="2"/>
    <s v="Strong progress on performance. The app runs smoothly and stability is much better. Features respond quickly. Very pleased with the improvements."/>
    <n v="9"/>
    <n v="9"/>
    <n v="9"/>
    <n v="100"/>
    <n v="100"/>
    <n v="100"/>
  </r>
  <r>
    <x v="4"/>
    <d v="2026-05-09T00:00:00"/>
    <x v="1"/>
    <s v="Performance remains poor. Still dealing with crashes and slow loading times. The app hasn't gotten much better. Still unreliable for workforce management."/>
    <n v="2"/>
    <n v="2"/>
    <n v="2"/>
    <n v="-100"/>
    <n v="-100"/>
    <n v="-100"/>
  </r>
  <r>
    <x v="4"/>
    <d v="2026-05-16T00:00:00"/>
    <x v="0"/>
    <s v="Reliable performance now. The app is stable and fast. All features work well without crashes. Very usable for all my workforce needs."/>
    <n v="9"/>
    <n v="9"/>
    <n v="9"/>
    <n v="100"/>
    <n v="100"/>
    <n v="100"/>
  </r>
  <r>
    <x v="4"/>
    <d v="2026-05-23T00:00:00"/>
    <x v="2"/>
    <s v="Excellent stability lately. Performance is consistently good. The app handles everything smoothly. Crashes are virtually non-existent now."/>
    <n v="9"/>
    <n v="9"/>
    <n v="9"/>
    <n v="100"/>
    <n v="100"/>
    <n v="100"/>
  </r>
  <r>
    <x v="4"/>
    <d v="2026-05-30T00:00:00"/>
    <x v="1"/>
    <s v="Still sluggish and buggy. Performance hasn't really improved. Crashes continue to be a problem. Don't understand why the iOS version is so far behind."/>
    <n v="2"/>
    <n v="2"/>
    <n v="2"/>
    <n v="-100"/>
    <n v="-100"/>
    <n v="-100"/>
  </r>
  <r>
    <x v="5"/>
    <d v="2026-06-06T00:00:00"/>
    <x v="0"/>
    <s v="Great performance now. The app is fast, stable, and fully functional. Everything works reliably. Very satisfied with how far it's come."/>
    <n v="9"/>
    <n v="10"/>
    <n v="9"/>
    <n v="100"/>
    <n v="100"/>
    <n v="100"/>
  </r>
  <r>
    <x v="5"/>
    <d v="2026-06-13T00:00:00"/>
    <x v="2"/>
    <s v="Impressive improvements. Performance is excellent and the app is rock solid. All features work flawlessly. Stability is top-notch now."/>
    <n v="9"/>
    <n v="9"/>
    <n v="9"/>
    <n v="100"/>
    <n v="100"/>
    <n v="100"/>
  </r>
  <r>
    <x v="5"/>
    <d v="2026-06-20T00:00:00"/>
    <x v="1"/>
    <s v="Performance is still subpar. The app  loads slowly. Really disappointing compared to other platforms."/>
    <n v="4"/>
    <n v="4"/>
    <n v="2"/>
    <n v="-100"/>
    <n v="-100"/>
    <n v="-100"/>
  </r>
  <r>
    <x v="5"/>
    <d v="2026-06-27T00:00:00"/>
    <x v="0"/>
    <s v="Outstanding stability and speed. The app performs brilliantly. All workforce features work perfectly. No issues at all anymore."/>
    <n v="9"/>
    <n v="9"/>
    <n v="9"/>
    <n v="100"/>
    <n v="100"/>
    <n v="100"/>
  </r>
  <r>
    <x v="6"/>
    <d v="2026-07-04T00:00:00"/>
    <x v="2"/>
    <s v="Superb performance. The app is lightning fast and completely stable. Everything functions seamlessly. Remarkable turnaround from the beginning of the year."/>
    <n v="9"/>
    <n v="9"/>
    <n v="10"/>
    <n v="100"/>
    <n v="100"/>
    <n v="100"/>
  </r>
  <r>
    <x v="6"/>
    <d v="2026-07-11T00:00:00"/>
    <x v="1"/>
    <s v="Still experiencing performance issues. Now has the same features as Android but the iOS version clearly needs more work than it's getting."/>
    <n v="4"/>
    <n v="4"/>
    <n v="4"/>
    <n v="-100"/>
    <n v="-100"/>
    <n v="-100"/>
  </r>
  <r>
    <x v="6"/>
    <d v="2026-07-18T00:00:00"/>
    <x v="0"/>
    <s v="Flawless performance now. The app is incredibly stable and responsive. All features work perfectly every time. Excellent workforce management tool."/>
    <n v="9"/>
    <n v="9"/>
    <n v="10"/>
    <n v="100"/>
    <n v="100"/>
    <n v="100"/>
  </r>
  <r>
    <x v="6"/>
    <d v="2026-07-25T00:00:00"/>
    <x v="2"/>
    <s v="Perfect stability. Performance is exceptional with instant loading. Every feature operates smoothly. This app has been completely transformed."/>
    <n v="9"/>
    <n v="9"/>
    <n v="10"/>
    <n v="100"/>
    <n v="100"/>
    <n v="100"/>
  </r>
  <r>
    <x v="7"/>
    <d v="2026-08-01T00:00:00"/>
    <x v="1"/>
    <s v="Performance hasn't improved much at all. At least it's stopped crashing since the recent update. The app is frustratingly slow. Nice that the features are now the same as the Android version"/>
    <n v="2"/>
    <n v="4"/>
    <n v="4"/>
    <n v="-100"/>
    <n v="-100"/>
    <n v="-100"/>
  </r>
  <r>
    <x v="7"/>
    <d v="2026-08-08T00:00:00"/>
    <x v="0"/>
    <s v="Absolutely stellar. The app performs flawlessly with zero stability issues. Everything is fast and reliable. Best workforce app available."/>
    <n v="9"/>
    <n v="10"/>
    <n v="10"/>
    <n v="100"/>
    <n v="100"/>
    <n v="100"/>
  </r>
  <r>
    <x v="7"/>
    <d v="2026-08-15T00:00:00"/>
    <x v="2"/>
    <s v="Exceptional performance and stability. The app works perfectly across all features. Lightning fast and completely reliable. Couldn't be better."/>
    <n v="10"/>
    <n v="9"/>
    <n v="10"/>
    <n v="100"/>
    <n v="100"/>
    <n v="100"/>
  </r>
  <r>
    <x v="7"/>
    <d v="2026-08-22T00:00:00"/>
    <x v="1"/>
    <s v="Still buggy and slow. Performance is poor with frequent crashes. Very little improvement over the past six months. iOS users are getting shortchanged."/>
    <n v="2"/>
    <n v="2"/>
    <n v="2"/>
    <n v="-100"/>
    <n v="-100"/>
    <n v="-100"/>
  </r>
  <r>
    <x v="7"/>
    <d v="2026-08-29T00:00:00"/>
    <x v="0"/>
    <s v="Perfect in every way. Performance is outstanding and stability is rock solid. All features work seamlessly. Truly professional-grade quality."/>
    <n v="9"/>
    <n v="10"/>
    <n v="9"/>
    <n v="100"/>
    <n v="100"/>
    <n v="100"/>
  </r>
  <r>
    <x v="8"/>
    <d v="2026-09-05T00:00:00"/>
    <x v="2"/>
    <s v="Brilliant stability and speed. The app performs exceptionally well. Everything functions flawlessly. An amazing year of continuous improvement."/>
    <n v="9"/>
    <n v="9"/>
    <n v="9"/>
    <n v="100"/>
    <n v="100"/>
    <n v="100"/>
  </r>
  <r>
    <x v="8"/>
    <d v="2026-09-12T00:00:00"/>
    <x v="1"/>
    <s v="Performance remains problematic. Very stable now but runs slowly. Great new features but unless the speed improves we're thinking of switching to something else"/>
    <n v="4"/>
    <n v="5"/>
    <n v="5"/>
    <n v="-100"/>
    <n v="-100"/>
    <n v="-100"/>
  </r>
  <r>
    <x v="8"/>
    <d v="2026-09-19T00:00:00"/>
    <x v="0"/>
    <s v="Outstanding reliability. Performance is consistently excellent. The app is lightning fast and completely stable. All workforce features work perfectly."/>
    <n v="9"/>
    <n v="9"/>
    <n v="10"/>
    <n v="100"/>
    <n v="100"/>
    <n v="100"/>
  </r>
  <r>
    <x v="8"/>
    <d v="2026-09-26T00:00:00"/>
    <x v="2"/>
    <s v="Flawless execution. The app is incredibly stable with exceptional performance. Everything works instantly and reliably. Best in class application."/>
    <n v="9"/>
    <n v="10"/>
    <n v="10"/>
    <n v="100"/>
    <n v="100"/>
    <n v="100"/>
  </r>
  <r>
    <x v="9"/>
    <d v="2026-10-03T00:00:00"/>
    <x v="1"/>
    <s v="Still having stability issues. Performance is mediocre at best with regular crashes. Minimal improvement despite months of updates. Very disappointing."/>
    <n v="2"/>
    <n v="2"/>
    <n v="2"/>
    <n v="-100"/>
    <n v="-100"/>
    <n v="-100"/>
  </r>
  <r>
    <x v="9"/>
    <d v="2026-10-10T00:00:00"/>
    <x v="0"/>
    <s v="Phenomenal performance. The app is rock solid and blazing fast. All features operate flawlessly. The improvements this year have been incredible."/>
    <n v="9"/>
    <n v="9"/>
    <n v="10"/>
    <n v="100"/>
    <n v="100"/>
    <n v="100"/>
  </r>
  <r>
    <x v="9"/>
    <d v="2026-10-17T00:00:00"/>
    <x v="2"/>
    <s v="Perfect stability and performance. The app works seamlessly with instant responsiveness. Every feature functions perfectly. Truly outstanding quality."/>
    <n v="9"/>
    <n v="10"/>
    <n v="10"/>
    <n v="100"/>
    <n v="100"/>
    <n v="100"/>
  </r>
  <r>
    <x v="9"/>
    <d v="2026-10-24T00:00:00"/>
    <x v="1"/>
    <s v="Still slow but not rock solid and stable. Some excellent features are now available in the app&quot;"/>
    <n v="4"/>
    <n v="7"/>
    <n v="4"/>
    <n v="-100"/>
    <n v="0"/>
    <n v="-100"/>
  </r>
  <r>
    <x v="9"/>
    <d v="2026-10-31T00:00:00"/>
    <x v="0"/>
    <s v="Exceptional in every aspect. The app delivers flawless performance with perfect stability. All workforce features work seamlessly. Absolutely world-class."/>
    <n v="10"/>
    <n v="10"/>
    <n v="10"/>
    <n v="100"/>
    <n v="100"/>
    <n v="100"/>
  </r>
  <r>
    <x v="10"/>
    <d v="2026-11-07T00:00:00"/>
    <x v="2"/>
    <s v="Superb reliability and speed. Performance is outstanding with zero issues. Everything functions perfectly. This app has achieved true excellence."/>
    <n v="9"/>
    <n v="10"/>
    <n v="10"/>
    <n v="100"/>
    <n v="100"/>
    <n v="100"/>
  </r>
  <r>
    <x v="10"/>
    <d v="2026-11-14T00:00:00"/>
    <x v="1"/>
    <s v="Still quite slow but very stable. I like the new features that have appeared."/>
    <n v="5"/>
    <n v="6"/>
    <n v="8"/>
    <n v="-100"/>
    <n v="-100"/>
    <n v="0"/>
  </r>
  <r>
    <x v="10"/>
    <d v="2026-11-21T00:00:00"/>
    <x v="0"/>
    <s v="Absolutely perfect now. The app is incredibly stable and lightning fast. All features work flawlessly. From terrible to excellent - amazing transformation."/>
    <n v="9"/>
    <n v="10"/>
    <n v="9"/>
    <n v="100"/>
    <n v="100"/>
    <n v="100"/>
  </r>
  <r>
    <x v="10"/>
    <d v="2026-11-28T00:00:00"/>
    <x v="2"/>
    <s v="Remarkable performance and stability. The app operates perfectly with instant loading. Everything works seamlessly. A complete success story."/>
    <n v="9"/>
    <n v="9"/>
    <n v="9"/>
    <n v="100"/>
    <n v="100"/>
    <n v="100"/>
  </r>
  <r>
    <x v="11"/>
    <d v="2026-12-05T00:00:00"/>
    <x v="1"/>
    <s v="It's very slow, but i's very stable and does not crash. I  love the new features that have arrived."/>
    <n v="4"/>
    <n v="6"/>
    <n v="7"/>
    <n v="-100"/>
    <n v="-100"/>
    <n v="0"/>
  </r>
  <r>
    <x v="11"/>
    <d v="2026-12-12T00:00:00"/>
    <x v="0"/>
    <s v="Flawless performance throughout. The app is rock solid with exceptional speed. All workforce management features operate perfectly. Truly premium quality."/>
    <n v="9"/>
    <n v="9"/>
    <n v="10"/>
    <n v="100"/>
    <n v="100"/>
    <n v="100"/>
  </r>
  <r>
    <x v="11"/>
    <d v="2026-12-19T00:00:00"/>
    <x v="2"/>
    <s v="Outstanding in every way. Performance is exceptional and stability is perfect. Every feature works flawlessly. An incredible year of improvement culminating in excellence."/>
    <n v="9"/>
    <n v="10"/>
    <n v="10"/>
    <n v="100"/>
    <n v="100"/>
    <n v="1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4F5CB42-D8B7-E24C-9097-7500A284C3F1}"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rowHeaderCaption="Speed NPS">
  <location ref="A3:B16" firstHeaderRow="1" firstDataRow="1" firstDataCol="1"/>
  <pivotFields count="10">
    <pivotField axis="axisRow" showAll="0">
      <items count="13">
        <item x="0"/>
        <item x="1"/>
        <item x="2"/>
        <item x="3"/>
        <item x="4"/>
        <item x="5"/>
        <item x="6"/>
        <item x="7"/>
        <item x="8"/>
        <item x="9"/>
        <item x="10"/>
        <item x="11"/>
        <item t="default"/>
      </items>
    </pivotField>
    <pivotField numFmtId="14" showAll="0"/>
    <pivotField showAll="0">
      <items count="4">
        <item x="1"/>
        <item x="2"/>
        <item x="0"/>
        <item t="default"/>
      </items>
    </pivotField>
    <pivotField showAll="0"/>
    <pivotField showAll="0"/>
    <pivotField showAll="0"/>
    <pivotField showAll="0"/>
    <pivotField dataField="1" showAll="0"/>
    <pivotField showAll="0"/>
    <pivotField showAll="0"/>
  </pivotFields>
  <rowFields count="1">
    <field x="0"/>
  </rowFields>
  <rowItems count="13">
    <i>
      <x/>
    </i>
    <i>
      <x v="1"/>
    </i>
    <i>
      <x v="2"/>
    </i>
    <i>
      <x v="3"/>
    </i>
    <i>
      <x v="4"/>
    </i>
    <i>
      <x v="5"/>
    </i>
    <i>
      <x v="6"/>
    </i>
    <i>
      <x v="7"/>
    </i>
    <i>
      <x v="8"/>
    </i>
    <i>
      <x v="9"/>
    </i>
    <i>
      <x v="10"/>
    </i>
    <i>
      <x v="11"/>
    </i>
    <i t="grand">
      <x/>
    </i>
  </rowItems>
  <colItems count="1">
    <i/>
  </colItems>
  <dataFields count="1">
    <dataField name="Speed NPS" fld="7" subtotal="average" baseField="0" baseItem="0"/>
  </dataFields>
  <chartFormats count="3">
    <chartFormat chart="0" format="17" series="1">
      <pivotArea type="data" outline="0" fieldPosition="0">
        <references count="1">
          <reference field="4294967294" count="1" selected="0">
            <x v="0"/>
          </reference>
        </references>
      </pivotArea>
    </chartFormat>
    <chartFormat chart="4" format="39" series="1">
      <pivotArea type="data" outline="0" fieldPosition="0">
        <references count="1">
          <reference field="4294967294" count="1" selected="0">
            <x v="0"/>
          </reference>
        </references>
      </pivotArea>
    </chartFormat>
    <chartFormat chart="5" format="4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18EC575-C96C-B44C-B453-D6444E7EB39E}"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rowHeaderCaption="Functionality NPS">
  <location ref="A3:B16" firstHeaderRow="1" firstDataRow="1" firstDataCol="1"/>
  <pivotFields count="10">
    <pivotField axis="axisRow" showAll="0">
      <items count="13">
        <item x="0"/>
        <item x="1"/>
        <item x="2"/>
        <item x="3"/>
        <item x="4"/>
        <item x="5"/>
        <item x="6"/>
        <item x="7"/>
        <item x="8"/>
        <item x="9"/>
        <item x="10"/>
        <item x="11"/>
        <item t="default"/>
      </items>
    </pivotField>
    <pivotField numFmtId="14" showAll="0"/>
    <pivotField showAll="0">
      <items count="4">
        <item x="1"/>
        <item x="2"/>
        <item x="0"/>
        <item t="default"/>
      </items>
    </pivotField>
    <pivotField showAll="0"/>
    <pivotField showAll="0"/>
    <pivotField showAll="0"/>
    <pivotField showAll="0"/>
    <pivotField showAll="0"/>
    <pivotField dataField="1" showAll="0"/>
    <pivotField showAll="0"/>
  </pivotFields>
  <rowFields count="1">
    <field x="0"/>
  </rowFields>
  <rowItems count="13">
    <i>
      <x/>
    </i>
    <i>
      <x v="1"/>
    </i>
    <i>
      <x v="2"/>
    </i>
    <i>
      <x v="3"/>
    </i>
    <i>
      <x v="4"/>
    </i>
    <i>
      <x v="5"/>
    </i>
    <i>
      <x v="6"/>
    </i>
    <i>
      <x v="7"/>
    </i>
    <i>
      <x v="8"/>
    </i>
    <i>
      <x v="9"/>
    </i>
    <i>
      <x v="10"/>
    </i>
    <i>
      <x v="11"/>
    </i>
    <i t="grand">
      <x/>
    </i>
  </rowItems>
  <colItems count="1">
    <i/>
  </colItems>
  <dataFields count="1">
    <dataField name="Functionality NPS" fld="8" subtotal="average" baseField="0" baseItem="0"/>
  </dataFields>
  <chartFormats count="3">
    <chartFormat chart="3" format="20"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0"/>
          </reference>
        </references>
      </pivotArea>
    </chartFormat>
    <chartFormat chart="7" format="2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F3CCEDA-6D9E-154E-8F7E-E9F97747968E}"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rowHeaderCaption="Stability NPS">
  <location ref="A3:B16" firstHeaderRow="1" firstDataRow="1" firstDataCol="1"/>
  <pivotFields count="10">
    <pivotField axis="axisRow" showAll="0">
      <items count="13">
        <item x="0"/>
        <item x="1"/>
        <item x="2"/>
        <item x="3"/>
        <item x="4"/>
        <item x="5"/>
        <item x="6"/>
        <item x="7"/>
        <item x="8"/>
        <item x="9"/>
        <item x="10"/>
        <item x="11"/>
        <item t="default"/>
      </items>
    </pivotField>
    <pivotField numFmtId="14" showAll="0"/>
    <pivotField showAll="0">
      <items count="4">
        <item x="1"/>
        <item x="2"/>
        <item x="0"/>
        <item t="default"/>
      </items>
    </pivotField>
    <pivotField showAll="0"/>
    <pivotField showAll="0"/>
    <pivotField showAll="0"/>
    <pivotField showAll="0"/>
    <pivotField showAll="0"/>
    <pivotField showAll="0"/>
    <pivotField dataField="1" showAll="0"/>
  </pivotFields>
  <rowFields count="1">
    <field x="0"/>
  </rowFields>
  <rowItems count="13">
    <i>
      <x/>
    </i>
    <i>
      <x v="1"/>
    </i>
    <i>
      <x v="2"/>
    </i>
    <i>
      <x v="3"/>
    </i>
    <i>
      <x v="4"/>
    </i>
    <i>
      <x v="5"/>
    </i>
    <i>
      <x v="6"/>
    </i>
    <i>
      <x v="7"/>
    </i>
    <i>
      <x v="8"/>
    </i>
    <i>
      <x v="9"/>
    </i>
    <i>
      <x v="10"/>
    </i>
    <i>
      <x v="11"/>
    </i>
    <i t="grand">
      <x/>
    </i>
  </rowItems>
  <colItems count="1">
    <i/>
  </colItems>
  <dataFields count="1">
    <dataField name="Stability NPS" fld="9" subtotal="average" baseField="0" baseItem="0"/>
  </dataFields>
  <chartFormats count="3">
    <chartFormat chart="5" format="32" series="1">
      <pivotArea type="data" outline="0" fieldPosition="0">
        <references count="1">
          <reference field="4294967294" count="1" selected="0">
            <x v="0"/>
          </reference>
        </references>
      </pivotArea>
    </chartFormat>
    <chartFormat chart="6" format="38" series="1">
      <pivotArea type="data" outline="0" fieldPosition="0">
        <references count="1">
          <reference field="4294967294" count="1" selected="0">
            <x v="0"/>
          </reference>
        </references>
      </pivotArea>
    </chartFormat>
    <chartFormat chart="7" format="4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 xr10:uid="{A637B30C-1F9F-6941-BC06-7E07A713A16C}" sourceName="Source">
  <pivotTables>
    <pivotTable tabId="5" name="PivotTable2"/>
    <pivotTable tabId="6" name="PivotTable2"/>
    <pivotTable tabId="7" name="PivotTable2"/>
  </pivotTables>
  <data>
    <tabular pivotCacheId="2060880366">
      <items count="3">
        <i x="1" s="1"/>
        <i x="2"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ource 3" xr10:uid="{1229CE12-674B-FC45-B39E-055C932B5880}" cache="Slicer_Source" caption="Source" rowHeight="230716"/>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ource" xr10:uid="{95A6C445-9E50-F244-9708-887B743E8D48}" cache="Slicer_Source" caption="Source" rowHeight="230716"/>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ource 1" xr10:uid="{CE8E7421-868C-5F44-AD72-15B73E1C81D6}" cache="Slicer_Source" caption="Source" rowHeight="230716"/>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ource 2" xr10:uid="{A951BD47-2E14-7C42-97DD-23B4D8571D31}" cache="Slicer_Source" caption="Source"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24BB25F-D474-7E44-A681-BCEE7C54EF73}" name="Table1" displayName="Table1" ref="A1:D9" totalsRowCount="1">
  <autoFilter ref="A1:D8" xr:uid="{E24BB25F-D474-7E44-A681-BCEE7C54EF73}"/>
  <tableColumns count="4">
    <tableColumn id="5" xr3:uid="{9B2DDA63-C155-6F49-B4FD-E97E15FA673B}" name="Review" totalsRowLabel="Net Promoter Score" dataDxfId="19" totalsRowDxfId="18"/>
    <tableColumn id="1" xr3:uid="{BB70A467-BF73-2D41-B8A6-0D795BB2D9A8}" name="Accomodation" totalsRowFunction="custom" dataDxfId="17" totalsRowDxfId="16">
      <calculatedColumnFormula array="1">OLLAMA("Create a rating from 0 to 10 for accomodation from the following review (DO NOT add extra text. ONLY reply with a number): ", Table1[[#This Row],[Review]])</calculatedColumnFormula>
      <totalsRowFormula array="1">((SUMPRODUCT((VALUE(Table1[Accomodation])&gt;=9)*1)-SUMPRODUCT((VALUE(Table1[Accomodation])&lt;=6)*1))/COUNTA(Table1[Accomodation]))*100</totalsRowFormula>
    </tableColumn>
    <tableColumn id="2" xr3:uid="{2BCC5C69-0BB8-6040-B0D2-8CEAB81CEA2D}" name="Cleanliness" totalsRowFunction="custom" dataDxfId="15" totalsRowDxfId="14">
      <calculatedColumnFormula array="1">OLLAMA("Create a rating from 0 to 10 for cleanliness from the following review (DO NOT add extra text. ONLY reply with a number): ", Table1[[#This Row],[Review]])</calculatedColumnFormula>
      <totalsRowFormula array="1">((SUMPRODUCT((VALUE(Table1[Cleanliness])&gt;=9)*1)-SUMPRODUCT((VALUE(Table1[Cleanliness])&lt;=6)*1))/COUNTA(Table1[Cleanliness]))*100</totalsRowFormula>
    </tableColumn>
    <tableColumn id="3" xr3:uid="{CEC7D840-3824-F148-83D7-E3EC545EDF2E}" name="Value-for-money" totalsRowFunction="custom" dataDxfId="13" totalsRowDxfId="12">
      <calculatedColumnFormula array="1">OLLAMA("Create a rating from 0 to 10 for value-for-money from the following review (DO NOT add extra text. ONLY reply with a number): ", Table1[[#This Row],[Review]])</calculatedColumnFormula>
      <totalsRowFormula array="1">((SUMPRODUCT((VALUE(Table1[Value-for-money])&gt;=9)*1)-SUMPRODUCT((VALUE(Table1[Value-for-money])&lt;=6)*1))/COUNTA(Table1[Value-for-money]))*100</totalsRow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AFE1DDF-C084-5B42-A916-14818E09486B}" name="Table2" displayName="Table2" ref="A1:J101" totalsRowShown="0" headerRowDxfId="11" dataDxfId="10">
  <autoFilter ref="A1:J101" xr:uid="{0AFE1DDF-C084-5B42-A916-14818E09486B}"/>
  <tableColumns count="10">
    <tableColumn id="7" xr3:uid="{57201237-34AD-B741-83D8-71FEB913D280}" name="Month" dataDxfId="9">
      <calculatedColumnFormula>TEXT(Table2[[#This Row],[Date]], "YYYY-MM")</calculatedColumnFormula>
    </tableColumn>
    <tableColumn id="1" xr3:uid="{9944B393-894A-ED4C-9A5D-EC9BA5E89963}" name="Date" dataDxfId="8"/>
    <tableColumn id="2" xr3:uid="{0C89097E-D28B-1B44-83CB-2F338256115B}" name="Source" dataDxfId="7"/>
    <tableColumn id="3" xr3:uid="{17D04D97-0B31-0944-B447-F7522399C8E7}" name="Review" dataDxfId="6"/>
    <tableColumn id="4" xr3:uid="{2121305A-13A1-3B4B-816C-1C9B5C63740F}" name="Speed" dataDxfId="5">
      <calculatedColumnFormula array="1">OLLAMA("Create a rating from 0 to 10 for speed from the following review (DO NOT add extra text. ONLY reply with a number): ", Table2[[#This Row],[Review]])+0</calculatedColumnFormula>
    </tableColumn>
    <tableColumn id="5" xr3:uid="{288FF2E9-62A4-184D-8D8C-287BE2C0AA39}" name="Functionality" dataDxfId="4">
      <calculatedColumnFormula array="1">OLLAMA("Create a rating from 0 to 10 for functionality from the following review (DO NOT add extra text. ONLY reply with a number): ", Table2[[#This Row],[Review]])+0</calculatedColumnFormula>
    </tableColumn>
    <tableColumn id="6" xr3:uid="{CE51C29D-8BFB-B64C-A3E6-D1D1A2FD366B}" name="Stability" dataDxfId="3">
      <calculatedColumnFormula array="1">OLLAMA("Create a rating from 0 to 10 for stability from the following review (DO NOT add extra text. ONLY reply with a number): ", Table2[[#This Row],[Review]])+0</calculatedColumnFormula>
    </tableColumn>
    <tableColumn id="11" xr3:uid="{E389F0BC-EC58-CB43-A1A9-F2F54B4B9FC8}" name="Speed NPS Contribution" dataDxfId="2">
      <calculatedColumnFormula>IF(Table2[[#This Row],[Speed]]&gt;=9, 100, IF(Table2[[#This Row],[Speed]]&lt;=6, -100, 0))</calculatedColumnFormula>
    </tableColumn>
    <tableColumn id="12" xr3:uid="{51F2BE3A-2F49-4041-BFE6-17FE47130122}" name="Functionality NPS Contribution" dataDxfId="1">
      <calculatedColumnFormula>IF(Table2[[#This Row],[Functionality]]&gt;=9, 100, IF(Table2[[#This Row],[Functionality]]&lt;=6, -100, 0))</calculatedColumnFormula>
    </tableColumn>
    <tableColumn id="13" xr3:uid="{A45A43FD-4663-5240-8223-67566304D135}" name="Stability NPS Contribution" dataDxfId="0">
      <calculatedColumnFormula>IF(Table2[[#This Row],[Stability]]&gt;=9, 100, IF(Table2[[#This Row],[Stability]]&lt;=6, -100, 0))</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8.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F1F7D7-2A86-BF40-B0A4-F30A0F23B346}">
  <sheetPr codeName="Sheet1"/>
  <dimension ref="G4:I11"/>
  <sheetViews>
    <sheetView tabSelected="1" zoomScale="150" zoomScaleNormal="150" workbookViewId="0">
      <selection activeCell="C2" sqref="C2"/>
    </sheetView>
  </sheetViews>
  <sheetFormatPr baseColWidth="10" defaultRowHeight="15" x14ac:dyDescent="0.2"/>
  <cols>
    <col min="2" max="2" width="10.83203125" customWidth="1"/>
    <col min="7" max="7" width="15.5" customWidth="1"/>
  </cols>
  <sheetData>
    <row r="4" spans="7:9" x14ac:dyDescent="0.2">
      <c r="G4" t="s">
        <v>140</v>
      </c>
      <c r="H4" t="s">
        <v>144</v>
      </c>
      <c r="I4" t="s">
        <v>145</v>
      </c>
    </row>
    <row r="5" spans="7:9" x14ac:dyDescent="0.2">
      <c r="G5" t="s">
        <v>182</v>
      </c>
      <c r="H5">
        <v>1.2</v>
      </c>
      <c r="I5">
        <v>1</v>
      </c>
    </row>
    <row r="6" spans="7:9" x14ac:dyDescent="0.2">
      <c r="G6" t="s">
        <v>183</v>
      </c>
      <c r="H6">
        <v>3.5</v>
      </c>
      <c r="I6">
        <v>1</v>
      </c>
    </row>
    <row r="7" spans="7:9" x14ac:dyDescent="0.2">
      <c r="G7" t="s">
        <v>141</v>
      </c>
      <c r="H7">
        <v>4</v>
      </c>
      <c r="I7">
        <v>1</v>
      </c>
    </row>
    <row r="8" spans="7:9" x14ac:dyDescent="0.2">
      <c r="G8" t="s">
        <v>146</v>
      </c>
      <c r="H8">
        <v>1.75</v>
      </c>
      <c r="I8">
        <v>4</v>
      </c>
    </row>
    <row r="9" spans="7:9" x14ac:dyDescent="0.2">
      <c r="G9" t="s">
        <v>142</v>
      </c>
      <c r="H9">
        <v>1.4</v>
      </c>
      <c r="I9">
        <v>2</v>
      </c>
    </row>
    <row r="10" spans="7:9" x14ac:dyDescent="0.2">
      <c r="G10" t="s">
        <v>143</v>
      </c>
      <c r="H10">
        <v>2.5</v>
      </c>
      <c r="I10">
        <v>1</v>
      </c>
    </row>
    <row r="11" spans="7:9" x14ac:dyDescent="0.2">
      <c r="G11" t="s">
        <v>184</v>
      </c>
      <c r="H11">
        <v>1.9</v>
      </c>
      <c r="I11">
        <v>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642F1C-E028-9644-982A-FC6B2E34E178}">
  <sheetPr codeName="Sheet2"/>
  <dimension ref="A1:D9"/>
  <sheetViews>
    <sheetView zoomScale="150" zoomScaleNormal="150" workbookViewId="0"/>
  </sheetViews>
  <sheetFormatPr baseColWidth="10" defaultRowHeight="15" x14ac:dyDescent="0.2"/>
  <cols>
    <col min="1" max="1" width="66" customWidth="1"/>
    <col min="2" max="2" width="13.33203125" customWidth="1"/>
    <col min="3" max="3" width="18.33203125" customWidth="1"/>
    <col min="4" max="4" width="15.6640625" customWidth="1"/>
  </cols>
  <sheetData>
    <row r="1" spans="1:4" x14ac:dyDescent="0.2">
      <c r="A1" t="s">
        <v>3</v>
      </c>
      <c r="B1" s="3" t="s">
        <v>0</v>
      </c>
      <c r="C1" s="3" t="s">
        <v>1</v>
      </c>
      <c r="D1" s="3" t="s">
        <v>2</v>
      </c>
    </row>
    <row r="2" spans="1:4" ht="89" customHeight="1" x14ac:dyDescent="0.2">
      <c r="A2" s="1" t="s">
        <v>9</v>
      </c>
      <c r="B2" s="3" t="str" cm="1">
        <f t="array" ref="B2">OLLAMA("Create a rating from 0 to 10 for accomodation from the following review (DO NOT add extra text. ONLY reply with a number): ", Table1[[#This Row],[Review]])</f>
        <v>0</v>
      </c>
      <c r="C2" s="3" t="str" cm="1">
        <f t="array" ref="C2">OLLAMA("Create a rating from 0 to 10 for cleanliness from the following review (DO NOT add extra text. ONLY reply with a number): ", Table1[[#This Row],[Review]])</f>
        <v>0</v>
      </c>
      <c r="D2" s="3" t="str" cm="1">
        <f t="array" ref="D2">OLLAMA("Create a rating from 0 to 10 for value-for-money from the following review (DO NOT add extra text. ONLY reply with a number): ", Table1[[#This Row],[Review]])</f>
        <v>1</v>
      </c>
    </row>
    <row r="3" spans="1:4" ht="135" customHeight="1" x14ac:dyDescent="0.2">
      <c r="A3" s="1" t="s">
        <v>119</v>
      </c>
      <c r="B3" s="3" t="str" cm="1">
        <f t="array" ref="B3">OLLAMA("Create a rating from 0 to 10 for accomodation from the following review (DO NOT add extra text. ONLY reply with a number): ", Table1[[#This Row],[Review]])</f>
        <v>2</v>
      </c>
      <c r="C3" s="3" t="str" cm="1">
        <f t="array" ref="C3">OLLAMA("Create a rating from 0 to 10 for cleanliness from the following review (DO NOT add extra text. ONLY reply with a number): ", Table1[[#This Row],[Review]])</f>
        <v>0</v>
      </c>
      <c r="D3" s="3" t="str" cm="1">
        <f t="array" ref="D3">OLLAMA("Create a rating from 0 to 10 for value-for-money from the following review (DO NOT add extra text. ONLY reply with a number): ", Table1[[#This Row],[Review]])</f>
        <v>2</v>
      </c>
    </row>
    <row r="4" spans="1:4" ht="56" customHeight="1" x14ac:dyDescent="0.2">
      <c r="A4" s="1" t="s">
        <v>4</v>
      </c>
      <c r="B4" s="3" t="str" cm="1">
        <f t="array" ref="B4">OLLAMA("Create a rating from 0 to 10 for accomodation from the following review (DO NOT add extra text. ONLY reply with a number): ", Table1[[#This Row],[Review]])</f>
        <v>8</v>
      </c>
      <c r="C4" s="3" t="str" cm="1">
        <f t="array" ref="C4">OLLAMA("Create a rating from 0 to 10 for cleanliness from the following review (DO NOT add extra text. ONLY reply with a number): ", Table1[[#This Row],[Review]])</f>
        <v>0</v>
      </c>
      <c r="D4" s="3" t="str" cm="1">
        <f t="array" ref="D4">OLLAMA("Create a rating from 0 to 10 for value-for-money from the following review (DO NOT add extra text. ONLY reply with a number): ", Table1[[#This Row],[Review]])</f>
        <v>7</v>
      </c>
    </row>
    <row r="5" spans="1:4" ht="88" customHeight="1" x14ac:dyDescent="0.2">
      <c r="A5" s="1" t="s">
        <v>5</v>
      </c>
      <c r="B5" s="3" t="str" cm="1">
        <f t="array" ref="B5">OLLAMA("Create a rating from 0 to 10 for accomodation from the following review (DO NOT add extra text. ONLY reply with a number): ", Table1[[#This Row],[Review]])</f>
        <v>9</v>
      </c>
      <c r="C5" s="3" t="str" cm="1">
        <f t="array" ref="C5">OLLAMA("Create a rating from 0 to 10 for cleanliness from the following review (DO NOT add extra text. ONLY reply with a number): ", Table1[[#This Row],[Review]])</f>
        <v>8</v>
      </c>
      <c r="D5" s="3" t="str" cm="1">
        <f t="array" ref="D5">OLLAMA("Create a rating from 0 to 10 for value-for-money from the following review (DO NOT add extra text. ONLY reply with a number): ", Table1[[#This Row],[Review]])</f>
        <v>9</v>
      </c>
    </row>
    <row r="6" spans="1:4" ht="58" customHeight="1" x14ac:dyDescent="0.2">
      <c r="A6" s="1" t="s">
        <v>6</v>
      </c>
      <c r="B6" s="3" t="str" cm="1">
        <f t="array" ref="B6">OLLAMA("Create a rating from 0 to 10 for accomodation from the following review (DO NOT add extra text. ONLY reply with a number): ", Table1[[#This Row],[Review]])</f>
        <v>0</v>
      </c>
      <c r="C6" s="3" t="str" cm="1">
        <f t="array" ref="C6">OLLAMA("Create a rating from 0 to 10 for cleanliness from the following review (DO NOT add extra text. ONLY reply with a number): ", Table1[[#This Row],[Review]])</f>
        <v>0</v>
      </c>
      <c r="D6" s="3" t="str" cm="1">
        <f t="array" ref="D6">OLLAMA("Create a rating from 0 to 10 for value-for-money from the following review (DO NOT add extra text. ONLY reply with a number): ", Table1[[#This Row],[Review]])</f>
        <v>2</v>
      </c>
    </row>
    <row r="7" spans="1:4" ht="137" customHeight="1" x14ac:dyDescent="0.2">
      <c r="A7" s="1" t="s">
        <v>124</v>
      </c>
      <c r="B7" s="3" t="str" cm="1">
        <f t="array" ref="B7">OLLAMA("Create a rating from 0 to 10 for accomodation from the following review (DO NOT add extra text. ONLY reply with a number): ", Table1[[#This Row],[Review]])</f>
        <v>2</v>
      </c>
      <c r="C7" s="3" t="str" cm="1">
        <f t="array" ref="C7">OLLAMA("Create a rating from 0 to 10 for cleanliness from the following review (DO NOT add extra text. ONLY reply with a number): ", Table1[[#This Row],[Review]])</f>
        <v>0</v>
      </c>
      <c r="D7" s="3" t="str" cm="1">
        <f t="array" ref="D7">OLLAMA("Create a rating from 0 to 10 for value-for-money from the following review (DO NOT add extra text. ONLY reply with a number): ", Table1[[#This Row],[Review]])</f>
        <v>2</v>
      </c>
    </row>
    <row r="8" spans="1:4" ht="77" customHeight="1" x14ac:dyDescent="0.2">
      <c r="A8" s="1" t="s">
        <v>7</v>
      </c>
      <c r="B8" s="3" t="str" cm="1">
        <f t="array" ref="B8">OLLAMA("Create a rating from 0 to 10 for accomodation from the following review (DO NOT add extra text. ONLY reply with a number): ", Table1[[#This Row],[Review]])</f>
        <v>2</v>
      </c>
      <c r="C8" s="3" t="str" cm="1">
        <f t="array" ref="C8">OLLAMA("Create a rating from 0 to 10 for cleanliness from the following review (DO NOT add extra text. ONLY reply with a number): ", Table1[[#This Row],[Review]])</f>
        <v>0</v>
      </c>
      <c r="D8" s="3" t="str" cm="1">
        <f t="array" ref="D8">OLLAMA("Create a rating from 0 to 10 for value-for-money from the following review (DO NOT add extra text. ONLY reply with a number): ", Table1[[#This Row],[Review]])</f>
        <v>2</v>
      </c>
    </row>
    <row r="9" spans="1:4" ht="17" x14ac:dyDescent="0.2">
      <c r="A9" s="1" t="s">
        <v>8</v>
      </c>
      <c r="B9" s="2" cm="1">
        <f t="array" ref="B9">((SUMPRODUCT((VALUE(Table1[Accomodation])&gt;=9)*1)-SUMPRODUCT((VALUE(Table1[Accomodation])&lt;=6)*1))/COUNTA(Table1[Accomodation]))*100</f>
        <v>-57.142857142857139</v>
      </c>
      <c r="C9" s="2" cm="1">
        <f t="array" ref="C9">((SUMPRODUCT((VALUE(Table1[Cleanliness])&gt;=9)*1)-SUMPRODUCT((VALUE(Table1[Cleanliness])&lt;=6)*1))/COUNTA(Table1[Cleanliness]))*100</f>
        <v>-85.714285714285708</v>
      </c>
      <c r="D9" s="2" cm="1">
        <f t="array" ref="D9">((SUMPRODUCT((VALUE(Table1[Value-for-money])&gt;=9)*1)-SUMPRODUCT((VALUE(Table1[Value-for-money])&lt;=6)*1))/COUNTA(Table1[Value-for-money]))*100</f>
        <v>-57.142857142857139</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3F7E6-1866-F64E-897D-CAA0EB4115A3}">
  <sheetPr codeName="Sheet3"/>
  <dimension ref="A1:J101"/>
  <sheetViews>
    <sheetView topLeftCell="B96" zoomScale="125" zoomScaleNormal="125" workbookViewId="0">
      <selection activeCell="D100" sqref="D100"/>
    </sheetView>
  </sheetViews>
  <sheetFormatPr baseColWidth="10" defaultRowHeight="15" x14ac:dyDescent="0.2"/>
  <cols>
    <col min="1" max="1" width="11.6640625" hidden="1" customWidth="1"/>
    <col min="2" max="2" width="15.33203125" customWidth="1"/>
    <col min="3" max="3" width="20.5" bestFit="1" customWidth="1"/>
    <col min="4" max="4" width="70.1640625" style="11" bestFit="1" customWidth="1"/>
    <col min="5" max="5" width="11" bestFit="1" customWidth="1"/>
    <col min="6" max="6" width="19.1640625" bestFit="1" customWidth="1"/>
    <col min="7" max="7" width="13.1640625" bestFit="1" customWidth="1"/>
    <col min="8" max="8" width="32.5" hidden="1" customWidth="1"/>
    <col min="9" max="9" width="41" hidden="1" customWidth="1"/>
    <col min="10" max="10" width="35.1640625" hidden="1" customWidth="1"/>
    <col min="11" max="11" width="27" customWidth="1"/>
  </cols>
  <sheetData>
    <row r="1" spans="1:10" ht="21" x14ac:dyDescent="0.25">
      <c r="A1" s="6" t="s">
        <v>17</v>
      </c>
      <c r="B1" s="6" t="s">
        <v>10</v>
      </c>
      <c r="C1" s="6" t="s">
        <v>11</v>
      </c>
      <c r="D1" s="9" t="s">
        <v>3</v>
      </c>
      <c r="E1" s="6" t="s">
        <v>120</v>
      </c>
      <c r="F1" s="6" t="s">
        <v>15</v>
      </c>
      <c r="G1" s="6" t="s">
        <v>16</v>
      </c>
      <c r="H1" s="6" t="s">
        <v>121</v>
      </c>
      <c r="I1" s="6" t="s">
        <v>31</v>
      </c>
      <c r="J1" s="6" t="s">
        <v>32</v>
      </c>
    </row>
    <row r="2" spans="1:10" ht="66" x14ac:dyDescent="0.25">
      <c r="A2" s="7" t="str">
        <f>TEXT(Table2[[#This Row],[Date]], "YYYY-MM")</f>
        <v>2026-01</v>
      </c>
      <c r="B2" s="7">
        <v>46027</v>
      </c>
      <c r="C2" s="6" t="s">
        <v>12</v>
      </c>
      <c r="D2" s="10" t="s">
        <v>35</v>
      </c>
      <c r="E2" s="8" cm="1">
        <f t="array" ref="E2">OLLAMA("Create a rating from 0 to 10 for speed from the following review (DO NOT add extra text. ONLY reply with a number): ", Table2[[#This Row],[Review]])+0</f>
        <v>2</v>
      </c>
      <c r="F2" s="8" cm="1">
        <f t="array" ref="F2">OLLAMA("Create a rating from 0 to 10 for functionality from the following review (DO NOT add extra text. ONLY reply with a number): ", Table2[[#This Row],[Review]])+0</f>
        <v>2</v>
      </c>
      <c r="G2" s="8" cm="1">
        <f t="array" ref="G2">OLLAMA("Create a rating from 0 to 10 for stability from the following review (DO NOT add extra text. ONLY reply with a number): ", Table2[[#This Row],[Review]])+0</f>
        <v>1</v>
      </c>
      <c r="H2" s="8">
        <f>IF(Table2[[#This Row],[Speed]]&gt;=9, 100, IF(Table2[[#This Row],[Speed]]&lt;=6, -100, 0))</f>
        <v>-100</v>
      </c>
      <c r="I2" s="8">
        <f>IF(Table2[[#This Row],[Functionality]]&gt;=9, 100, IF(Table2[[#This Row],[Functionality]]&lt;=6, -100, 0))</f>
        <v>-100</v>
      </c>
      <c r="J2" s="8">
        <f>IF(Table2[[#This Row],[Stability]]&gt;=9, 100, IF(Table2[[#This Row],[Stability]]&lt;=6, -100, 0))</f>
        <v>-100</v>
      </c>
    </row>
    <row r="3" spans="1:10" ht="88" x14ac:dyDescent="0.25">
      <c r="A3" s="7" t="str">
        <f>TEXT(Table2[[#This Row],[Date]], "YYYY-MM")</f>
        <v>2026-01</v>
      </c>
      <c r="B3" s="7">
        <v>46034</v>
      </c>
      <c r="C3" s="6" t="s">
        <v>13</v>
      </c>
      <c r="D3" s="10" t="s">
        <v>138</v>
      </c>
      <c r="E3" s="8" cm="1">
        <f t="array" ref="E3">OLLAMA("Create a rating from 0 to 10 for speed from the following review (DO NOT add extra text. ONLY reply with a number): ", Table2[[#This Row],[Review]])+0</f>
        <v>2</v>
      </c>
      <c r="F3" s="8" cm="1">
        <f t="array" ref="F3">OLLAMA("Create a rating from 0 to 10 for functionality from the following review (DO NOT add extra text. ONLY reply with a number): ", Table2[[#This Row],[Review]])+0</f>
        <v>2</v>
      </c>
      <c r="G3" s="8" cm="1">
        <f t="array" ref="G3">OLLAMA("Create a rating from 0 to 10 for stability from the following review (DO NOT add extra text. ONLY reply with a number): ", Table2[[#This Row],[Review]])+0</f>
        <v>2</v>
      </c>
      <c r="H3" s="8">
        <f>IF(Table2[[#This Row],[Speed]]&gt;=9, 100, IF(Table2[[#This Row],[Speed]]&lt;=6, -100, 0))</f>
        <v>-100</v>
      </c>
      <c r="I3" s="8">
        <f>IF(Table2[[#This Row],[Functionality]]&gt;=9, 100, IF(Table2[[#This Row],[Functionality]]&lt;=6, -100, 0))</f>
        <v>-100</v>
      </c>
      <c r="J3" s="8">
        <f>IF(Table2[[#This Row],[Stability]]&gt;=9, 100, IF(Table2[[#This Row],[Stability]]&lt;=6, -100, 0))</f>
        <v>-100</v>
      </c>
    </row>
    <row r="4" spans="1:10" ht="66" x14ac:dyDescent="0.25">
      <c r="A4" s="7" t="str">
        <f>TEXT(Table2[[#This Row],[Date]], "YYYY-MM")</f>
        <v>2026-01</v>
      </c>
      <c r="B4" s="7">
        <v>46040</v>
      </c>
      <c r="C4" s="6" t="s">
        <v>14</v>
      </c>
      <c r="D4" s="10" t="s">
        <v>36</v>
      </c>
      <c r="E4" s="8" cm="1">
        <f t="array" ref="E4">OLLAMA("Create a rating from 0 to 10 for speed from the following review (DO NOT add extra text. ONLY reply with a number): ", Table2[[#This Row],[Review]])+0</f>
        <v>1</v>
      </c>
      <c r="F4" s="8" cm="1">
        <f t="array" ref="F4">OLLAMA("Create a rating from 0 to 10 for functionality from the following review (DO NOT add extra text. ONLY reply with a number): ", Table2[[#This Row],[Review]])+0</f>
        <v>1</v>
      </c>
      <c r="G4" s="8" cm="1">
        <f t="array" ref="G4">OLLAMA("Create a rating from 0 to 10 for stability from the following review (DO NOT add extra text. ONLY reply with a number): ", Table2[[#This Row],[Review]])+0</f>
        <v>0</v>
      </c>
      <c r="H4" s="8">
        <f>IF(Table2[[#This Row],[Speed]]&gt;=9, 100, IF(Table2[[#This Row],[Speed]]&lt;=6, -100, 0))</f>
        <v>-100</v>
      </c>
      <c r="I4" s="8">
        <f>IF(Table2[[#This Row],[Functionality]]&gt;=9, 100, IF(Table2[[#This Row],[Functionality]]&lt;=6, -100, 0))</f>
        <v>-100</v>
      </c>
      <c r="J4" s="8">
        <f>IF(Table2[[#This Row],[Stability]]&gt;=9, 100, IF(Table2[[#This Row],[Stability]]&lt;=6, -100, 0))</f>
        <v>-100</v>
      </c>
    </row>
    <row r="5" spans="1:10" ht="88" x14ac:dyDescent="0.25">
      <c r="A5" s="7" t="str">
        <f>TEXT(Table2[[#This Row],[Date]], "YYYY-MM")</f>
        <v>2026-01</v>
      </c>
      <c r="B5" s="7">
        <v>46047</v>
      </c>
      <c r="C5" s="6" t="s">
        <v>12</v>
      </c>
      <c r="D5" s="10" t="s">
        <v>37</v>
      </c>
      <c r="E5" s="8" cm="1">
        <f t="array" ref="E5">OLLAMA("Create a rating from 0 to 10 for speed from the following review (DO NOT add extra text. ONLY reply with a number): ", Table2[[#This Row],[Review]])+0</f>
        <v>2</v>
      </c>
      <c r="F5" s="8" cm="1">
        <f t="array" ref="F5">OLLAMA("Create a rating from 0 to 10 for functionality from the following review (DO NOT add extra text. ONLY reply with a number): ", Table2[[#This Row],[Review]])+0</f>
        <v>2</v>
      </c>
      <c r="G5" s="8" cm="1">
        <f t="array" ref="G5">OLLAMA("Create a rating from 0 to 10 for stability from the following review (DO NOT add extra text. ONLY reply with a number): ", Table2[[#This Row],[Review]])+0</f>
        <v>2</v>
      </c>
      <c r="H5" s="8">
        <f>IF(Table2[[#This Row],[Speed]]&gt;=9, 100, IF(Table2[[#This Row],[Speed]]&lt;=6, -100, 0))</f>
        <v>-100</v>
      </c>
      <c r="I5" s="8">
        <f>IF(Table2[[#This Row],[Functionality]]&gt;=9, 100, IF(Table2[[#This Row],[Functionality]]&lt;=6, -100, 0))</f>
        <v>-100</v>
      </c>
      <c r="J5" s="8">
        <f>IF(Table2[[#This Row],[Stability]]&gt;=9, 100, IF(Table2[[#This Row],[Stability]]&lt;=6, -100, 0))</f>
        <v>-100</v>
      </c>
    </row>
    <row r="6" spans="1:10" ht="66" x14ac:dyDescent="0.25">
      <c r="A6" s="7" t="str">
        <f>TEXT(Table2[[#This Row],[Date]], "YYYY-MM")</f>
        <v>2026-02</v>
      </c>
      <c r="B6" s="7">
        <v>46054</v>
      </c>
      <c r="C6" s="6" t="s">
        <v>13</v>
      </c>
      <c r="D6" s="10" t="s">
        <v>38</v>
      </c>
      <c r="E6" s="8" cm="1">
        <f t="array" ref="E6">OLLAMA("Create a rating from 0 to 10 for speed from the following review (DO NOT add extra text. ONLY reply with a number): ", Table2[[#This Row],[Review]])+0</f>
        <v>2</v>
      </c>
      <c r="F6" s="8" cm="1">
        <f t="array" ref="F6">OLLAMA("Create a rating from 0 to 10 for functionality from the following review (DO NOT add extra text. ONLY reply with a number): ", Table2[[#This Row],[Review]])+0</f>
        <v>2</v>
      </c>
      <c r="G6" s="8" cm="1">
        <f t="array" ref="G6">OLLAMA("Create a rating from 0 to 10 for stability from the following review (DO NOT add extra text. ONLY reply with a number): ", Table2[[#This Row],[Review]])+0</f>
        <v>2</v>
      </c>
      <c r="H6" s="8">
        <f>IF(Table2[[#This Row],[Speed]]&gt;=9, 100, IF(Table2[[#This Row],[Speed]]&lt;=6, -100, 0))</f>
        <v>-100</v>
      </c>
      <c r="I6" s="8">
        <f>IF(Table2[[#This Row],[Functionality]]&gt;=9, 100, IF(Table2[[#This Row],[Functionality]]&lt;=6, -100, 0))</f>
        <v>-100</v>
      </c>
      <c r="J6" s="8">
        <f>IF(Table2[[#This Row],[Stability]]&gt;=9, 100, IF(Table2[[#This Row],[Stability]]&lt;=6, -100, 0))</f>
        <v>-100</v>
      </c>
    </row>
    <row r="7" spans="1:10" ht="88" x14ac:dyDescent="0.25">
      <c r="A7" s="7" t="str">
        <f>TEXT(Table2[[#This Row],[Date]], "YYYY-MM")</f>
        <v>2026-02</v>
      </c>
      <c r="B7" s="7">
        <v>46061</v>
      </c>
      <c r="C7" s="6" t="s">
        <v>14</v>
      </c>
      <c r="D7" s="10" t="s">
        <v>39</v>
      </c>
      <c r="E7" s="8" cm="1">
        <f t="array" ref="E7">OLLAMA("Create a rating from 0 to 10 for speed from the following review (DO NOT add extra text. ONLY reply with a number): ", Table2[[#This Row],[Review]])+0</f>
        <v>1</v>
      </c>
      <c r="F7" s="8" cm="1">
        <f t="array" ref="F7">OLLAMA("Create a rating from 0 to 10 for functionality from the following review (DO NOT add extra text. ONLY reply with a number): ", Table2[[#This Row],[Review]])+0</f>
        <v>2</v>
      </c>
      <c r="G7" s="8" cm="1">
        <f t="array" ref="G7">OLLAMA("Create a rating from 0 to 10 for stability from the following review (DO NOT add extra text. ONLY reply with a number): ", Table2[[#This Row],[Review]])+0</f>
        <v>2</v>
      </c>
      <c r="H7" s="8">
        <f>IF(Table2[[#This Row],[Speed]]&gt;=9, 100, IF(Table2[[#This Row],[Speed]]&lt;=6, -100, 0))</f>
        <v>-100</v>
      </c>
      <c r="I7" s="8">
        <f>IF(Table2[[#This Row],[Functionality]]&gt;=9, 100, IF(Table2[[#This Row],[Functionality]]&lt;=6, -100, 0))</f>
        <v>-100</v>
      </c>
      <c r="J7" s="8">
        <f>IF(Table2[[#This Row],[Stability]]&gt;=9, 100, IF(Table2[[#This Row],[Stability]]&lt;=6, -100, 0))</f>
        <v>-100</v>
      </c>
    </row>
    <row r="8" spans="1:10" ht="66" x14ac:dyDescent="0.25">
      <c r="A8" s="7" t="str">
        <f>TEXT(Table2[[#This Row],[Date]], "YYYY-MM")</f>
        <v>2026-02</v>
      </c>
      <c r="B8" s="7">
        <v>46068</v>
      </c>
      <c r="C8" s="6" t="s">
        <v>12</v>
      </c>
      <c r="D8" s="10" t="s">
        <v>40</v>
      </c>
      <c r="E8" s="8" cm="1">
        <f t="array" ref="E8">OLLAMA("Create a rating from 0 to 10 for speed from the following review (DO NOT add extra text. ONLY reply with a number): ", Table2[[#This Row],[Review]])+0</f>
        <v>2</v>
      </c>
      <c r="F8" s="8" cm="1">
        <f t="array" ref="F8">OLLAMA("Create a rating from 0 to 10 for functionality from the following review (DO NOT add extra text. ONLY reply with a number): ", Table2[[#This Row],[Review]])+0</f>
        <v>2</v>
      </c>
      <c r="G8" s="8" cm="1">
        <f t="array" ref="G8">OLLAMA("Create a rating from 0 to 10 for stability from the following review (DO NOT add extra text. ONLY reply with a number): ", Table2[[#This Row],[Review]])+0</f>
        <v>2</v>
      </c>
      <c r="H8" s="8">
        <f>IF(Table2[[#This Row],[Speed]]&gt;=9, 100, IF(Table2[[#This Row],[Speed]]&lt;=6, -100, 0))</f>
        <v>-100</v>
      </c>
      <c r="I8" s="8">
        <f>IF(Table2[[#This Row],[Functionality]]&gt;=9, 100, IF(Table2[[#This Row],[Functionality]]&lt;=6, -100, 0))</f>
        <v>-100</v>
      </c>
      <c r="J8" s="8">
        <f>IF(Table2[[#This Row],[Stability]]&gt;=9, 100, IF(Table2[[#This Row],[Stability]]&lt;=6, -100, 0))</f>
        <v>-100</v>
      </c>
    </row>
    <row r="9" spans="1:10" ht="66" x14ac:dyDescent="0.25">
      <c r="A9" s="7" t="str">
        <f>TEXT(Table2[[#This Row],[Date]], "YYYY-MM")</f>
        <v>2026-02</v>
      </c>
      <c r="B9" s="7">
        <v>46075</v>
      </c>
      <c r="C9" s="6" t="s">
        <v>13</v>
      </c>
      <c r="D9" s="10" t="s">
        <v>41</v>
      </c>
      <c r="E9" s="8" cm="1">
        <f t="array" ref="E9">OLLAMA("Create a rating from 0 to 10 for speed from the following review (DO NOT add extra text. ONLY reply with a number): ", Table2[[#This Row],[Review]])+0</f>
        <v>1</v>
      </c>
      <c r="F9" s="8" cm="1">
        <f t="array" ref="F9">OLLAMA("Create a rating from 0 to 10 for functionality from the following review (DO NOT add extra text. ONLY reply with a number): ", Table2[[#This Row],[Review]])+0</f>
        <v>2</v>
      </c>
      <c r="G9" s="8" cm="1">
        <f t="array" ref="G9">OLLAMA("Create a rating from 0 to 10 for stability from the following review (DO NOT add extra text. ONLY reply with a number): ", Table2[[#This Row],[Review]])+0</f>
        <v>1</v>
      </c>
      <c r="H9" s="8">
        <f>IF(Table2[[#This Row],[Speed]]&gt;=9, 100, IF(Table2[[#This Row],[Speed]]&lt;=6, -100, 0))</f>
        <v>-100</v>
      </c>
      <c r="I9" s="8">
        <f>IF(Table2[[#This Row],[Functionality]]&gt;=9, 100, IF(Table2[[#This Row],[Functionality]]&lt;=6, -100, 0))</f>
        <v>-100</v>
      </c>
      <c r="J9" s="8">
        <f>IF(Table2[[#This Row],[Stability]]&gt;=9, 100, IF(Table2[[#This Row],[Stability]]&lt;=6, -100, 0))</f>
        <v>-100</v>
      </c>
    </row>
    <row r="10" spans="1:10" ht="66" x14ac:dyDescent="0.25">
      <c r="A10" s="7" t="str">
        <f>TEXT(Table2[[#This Row],[Date]], "YYYY-MM")</f>
        <v>2026-03</v>
      </c>
      <c r="B10" s="7">
        <v>46082</v>
      </c>
      <c r="C10" s="6" t="s">
        <v>14</v>
      </c>
      <c r="D10" s="10" t="s">
        <v>42</v>
      </c>
      <c r="E10" s="8" cm="1">
        <f t="array" ref="E10">OLLAMA("Create a rating from 0 to 10 for speed from the following review (DO NOT add extra text. ONLY reply with a number): ", Table2[[#This Row],[Review]])+0</f>
        <v>1</v>
      </c>
      <c r="F10" s="8" cm="1">
        <f t="array" ref="F10">OLLAMA("Create a rating from 0 to 10 for functionality from the following review (DO NOT add extra text. ONLY reply with a number): ", Table2[[#This Row],[Review]])+0</f>
        <v>1</v>
      </c>
      <c r="G10" s="8" cm="1">
        <f t="array" ref="G10">OLLAMA("Create a rating from 0 to 10 for stability from the following review (DO NOT add extra text. ONLY reply with a number): ", Table2[[#This Row],[Review]])+0</f>
        <v>2</v>
      </c>
      <c r="H10" s="8">
        <f>IF(Table2[[#This Row],[Speed]]&gt;=9, 100, IF(Table2[[#This Row],[Speed]]&lt;=6, -100, 0))</f>
        <v>-100</v>
      </c>
      <c r="I10" s="8">
        <f>IF(Table2[[#This Row],[Functionality]]&gt;=9, 100, IF(Table2[[#This Row],[Functionality]]&lt;=6, -100, 0))</f>
        <v>-100</v>
      </c>
      <c r="J10" s="8">
        <f>IF(Table2[[#This Row],[Stability]]&gt;=9, 100, IF(Table2[[#This Row],[Stability]]&lt;=6, -100, 0))</f>
        <v>-100</v>
      </c>
    </row>
    <row r="11" spans="1:10" ht="66" x14ac:dyDescent="0.25">
      <c r="A11" s="7" t="str">
        <f>TEXT(Table2[[#This Row],[Date]], "YYYY-MM")</f>
        <v>2026-03</v>
      </c>
      <c r="B11" s="7">
        <v>46089</v>
      </c>
      <c r="C11" s="6" t="s">
        <v>12</v>
      </c>
      <c r="D11" s="10" t="s">
        <v>43</v>
      </c>
      <c r="E11" s="8" cm="1">
        <f t="array" ref="E11">OLLAMA("Create a rating from 0 to 10 for speed from the following review (DO NOT add extra text. ONLY reply with a number): ", Table2[[#This Row],[Review]])+0</f>
        <v>4</v>
      </c>
      <c r="F11" s="8" cm="1">
        <f t="array" ref="F11">OLLAMA("Create a rating from 0 to 10 for functionality from the following review (DO NOT add extra text. ONLY reply with a number): ", Table2[[#This Row],[Review]])+0</f>
        <v>6</v>
      </c>
      <c r="G11" s="8" cm="1">
        <f t="array" ref="G11">OLLAMA("Create a rating from 0 to 10 for stability from the following review (DO NOT add extra text. ONLY reply with a number): ", Table2[[#This Row],[Review]])+0</f>
        <v>4</v>
      </c>
      <c r="H11" s="8">
        <f>IF(Table2[[#This Row],[Speed]]&gt;=9, 100, IF(Table2[[#This Row],[Speed]]&lt;=6, -100, 0))</f>
        <v>-100</v>
      </c>
      <c r="I11" s="8">
        <f>IF(Table2[[#This Row],[Functionality]]&gt;=9, 100, IF(Table2[[#This Row],[Functionality]]&lt;=6, -100, 0))</f>
        <v>-100</v>
      </c>
      <c r="J11" s="8">
        <f>IF(Table2[[#This Row],[Stability]]&gt;=9, 100, IF(Table2[[#This Row],[Stability]]&lt;=6, -100, 0))</f>
        <v>-100</v>
      </c>
    </row>
    <row r="12" spans="1:10" ht="66" x14ac:dyDescent="0.25">
      <c r="A12" s="7" t="str">
        <f>TEXT(Table2[[#This Row],[Date]], "YYYY-MM")</f>
        <v>2026-03</v>
      </c>
      <c r="B12" s="7">
        <v>46096</v>
      </c>
      <c r="C12" s="6" t="s">
        <v>13</v>
      </c>
      <c r="D12" s="10" t="s">
        <v>44</v>
      </c>
      <c r="E12" s="8" cm="1">
        <f t="array" ref="E12">OLLAMA("Create a rating from 0 to 10 for speed from the following review (DO NOT add extra text. ONLY reply with a number): ", Table2[[#This Row],[Review]])+0</f>
        <v>4</v>
      </c>
      <c r="F12" s="8" cm="1">
        <f t="array" ref="F12">OLLAMA("Create a rating from 0 to 10 for functionality from the following review (DO NOT add extra text. ONLY reply with a number): ", Table2[[#This Row],[Review]])+0</f>
        <v>5</v>
      </c>
      <c r="G12" s="8" cm="1">
        <f t="array" ref="G12">OLLAMA("Create a rating from 0 to 10 for stability from the following review (DO NOT add extra text. ONLY reply with a number): ", Table2[[#This Row],[Review]])+0</f>
        <v>5</v>
      </c>
      <c r="H12" s="8">
        <f>IF(Table2[[#This Row],[Speed]]&gt;=9, 100, IF(Table2[[#This Row],[Speed]]&lt;=6, -100, 0))</f>
        <v>-100</v>
      </c>
      <c r="I12" s="8">
        <f>IF(Table2[[#This Row],[Functionality]]&gt;=9, 100, IF(Table2[[#This Row],[Functionality]]&lt;=6, -100, 0))</f>
        <v>-100</v>
      </c>
      <c r="J12" s="8">
        <f>IF(Table2[[#This Row],[Stability]]&gt;=9, 100, IF(Table2[[#This Row],[Stability]]&lt;=6, -100, 0))</f>
        <v>-100</v>
      </c>
    </row>
    <row r="13" spans="1:10" ht="88" x14ac:dyDescent="0.25">
      <c r="A13" s="7" t="str">
        <f>TEXT(Table2[[#This Row],[Date]], "YYYY-MM")</f>
        <v>2026-03</v>
      </c>
      <c r="B13" s="7">
        <v>46103</v>
      </c>
      <c r="C13" s="6" t="s">
        <v>14</v>
      </c>
      <c r="D13" s="10" t="s">
        <v>45</v>
      </c>
      <c r="E13" s="8" cm="1">
        <f t="array" ref="E13">OLLAMA("Create a rating from 0 to 10 for speed from the following review (DO NOT add extra text. ONLY reply with a number): ", Table2[[#This Row],[Review]])+0</f>
        <v>5</v>
      </c>
      <c r="F13" s="8" cm="1">
        <f t="array" ref="F13">OLLAMA("Create a rating from 0 to 10 for functionality from the following review (DO NOT add extra text. ONLY reply with a number): ", Table2[[#This Row],[Review]])+0</f>
        <v>6</v>
      </c>
      <c r="G13" s="8" cm="1">
        <f t="array" ref="G13">OLLAMA("Create a rating from 0 to 10 for stability from the following review (DO NOT add extra text. ONLY reply with a number): ", Table2[[#This Row],[Review]])+0</f>
        <v>7</v>
      </c>
      <c r="H13" s="8">
        <f>IF(Table2[[#This Row],[Speed]]&gt;=9, 100, IF(Table2[[#This Row],[Speed]]&lt;=6, -100, 0))</f>
        <v>-100</v>
      </c>
      <c r="I13" s="8">
        <f>IF(Table2[[#This Row],[Functionality]]&gt;=9, 100, IF(Table2[[#This Row],[Functionality]]&lt;=6, -100, 0))</f>
        <v>-100</v>
      </c>
      <c r="J13" s="8">
        <f>IF(Table2[[#This Row],[Stability]]&gt;=9, 100, IF(Table2[[#This Row],[Stability]]&lt;=6, -100, 0))</f>
        <v>0</v>
      </c>
    </row>
    <row r="14" spans="1:10" ht="66" x14ac:dyDescent="0.25">
      <c r="A14" s="7" t="str">
        <f>TEXT(Table2[[#This Row],[Date]], "YYYY-MM")</f>
        <v>2026-03</v>
      </c>
      <c r="B14" s="7">
        <v>46110</v>
      </c>
      <c r="C14" s="6" t="s">
        <v>12</v>
      </c>
      <c r="D14" s="10" t="s">
        <v>46</v>
      </c>
      <c r="E14" s="8" cm="1">
        <f t="array" ref="E14">OLLAMA("Create a rating from 0 to 10 for speed from the following review (DO NOT add extra text. ONLY reply with a number): ", Table2[[#This Row],[Review]])+0</f>
        <v>7</v>
      </c>
      <c r="F14" s="8" cm="1">
        <f t="array" ref="F14">OLLAMA("Create a rating from 0 to 10 for functionality from the following review (DO NOT add extra text. ONLY reply with a number): ", Table2[[#This Row],[Review]])+0</f>
        <v>8</v>
      </c>
      <c r="G14" s="8" cm="1">
        <f t="array" ref="G14">OLLAMA("Create a rating from 0 to 10 for stability from the following review (DO NOT add extra text. ONLY reply with a number): ", Table2[[#This Row],[Review]])+0</f>
        <v>8</v>
      </c>
      <c r="H14" s="8">
        <f>IF(Table2[[#This Row],[Speed]]&gt;=9, 100, IF(Table2[[#This Row],[Speed]]&lt;=6, -100, 0))</f>
        <v>0</v>
      </c>
      <c r="I14" s="8">
        <f>IF(Table2[[#This Row],[Functionality]]&gt;=9, 100, IF(Table2[[#This Row],[Functionality]]&lt;=6, -100, 0))</f>
        <v>0</v>
      </c>
      <c r="J14" s="8">
        <f>IF(Table2[[#This Row],[Stability]]&gt;=9, 100, IF(Table2[[#This Row],[Stability]]&lt;=6, -100, 0))</f>
        <v>0</v>
      </c>
    </row>
    <row r="15" spans="1:10" ht="66" x14ac:dyDescent="0.25">
      <c r="A15" s="7" t="str">
        <f>TEXT(Table2[[#This Row],[Date]], "YYYY-MM")</f>
        <v>2026-04</v>
      </c>
      <c r="B15" s="7">
        <v>46117</v>
      </c>
      <c r="C15" s="6" t="s">
        <v>13</v>
      </c>
      <c r="D15" s="10" t="s">
        <v>47</v>
      </c>
      <c r="E15" s="8" cm="1">
        <f t="array" ref="E15">OLLAMA("Create a rating from 0 to 10 for speed from the following review (DO NOT add extra text. ONLY reply with a number): ", Table2[[#This Row],[Review]])+0</f>
        <v>6</v>
      </c>
      <c r="F15" s="8" cm="1">
        <f t="array" ref="F15">OLLAMA("Create a rating from 0 to 10 for functionality from the following review (DO NOT add extra text. ONLY reply with a number): ", Table2[[#This Row],[Review]])+0</f>
        <v>6</v>
      </c>
      <c r="G15" s="8" cm="1">
        <f t="array" ref="G15">OLLAMA("Create a rating from 0 to 10 for stability from the following review (DO NOT add extra text. ONLY reply with a number): ", Table2[[#This Row],[Review]])+0</f>
        <v>6</v>
      </c>
      <c r="H15" s="8">
        <f>IF(Table2[[#This Row],[Speed]]&gt;=9, 100, IF(Table2[[#This Row],[Speed]]&lt;=6, -100, 0))</f>
        <v>-100</v>
      </c>
      <c r="I15" s="8">
        <f>IF(Table2[[#This Row],[Functionality]]&gt;=9, 100, IF(Table2[[#This Row],[Functionality]]&lt;=6, -100, 0))</f>
        <v>-100</v>
      </c>
      <c r="J15" s="8">
        <f>IF(Table2[[#This Row],[Stability]]&gt;=9, 100, IF(Table2[[#This Row],[Stability]]&lt;=6, -100, 0))</f>
        <v>-100</v>
      </c>
    </row>
    <row r="16" spans="1:10" ht="66" x14ac:dyDescent="0.25">
      <c r="A16" s="7" t="str">
        <f>TEXT(Table2[[#This Row],[Date]], "YYYY-MM")</f>
        <v>2026-04</v>
      </c>
      <c r="B16" s="7">
        <v>46124</v>
      </c>
      <c r="C16" s="6" t="s">
        <v>14</v>
      </c>
      <c r="D16" s="10" t="s">
        <v>48</v>
      </c>
      <c r="E16" s="8" cm="1">
        <f t="array" ref="E16">OLLAMA("Create a rating from 0 to 10 for speed from the following review (DO NOT add extra text. ONLY reply with a number): ", Table2[[#This Row],[Review]])+0</f>
        <v>7</v>
      </c>
      <c r="F16" s="8" cm="1">
        <f t="array" ref="F16">OLLAMA("Create a rating from 0 to 10 for functionality from the following review (DO NOT add extra text. ONLY reply with a number): ", Table2[[#This Row],[Review]])+0</f>
        <v>7</v>
      </c>
      <c r="G16" s="8" cm="1">
        <f t="array" ref="G16">OLLAMA("Create a rating from 0 to 10 for stability from the following review (DO NOT add extra text. ONLY reply with a number): ", Table2[[#This Row],[Review]])+0</f>
        <v>7</v>
      </c>
      <c r="H16" s="8">
        <f>IF(Table2[[#This Row],[Speed]]&gt;=9, 100, IF(Table2[[#This Row],[Speed]]&lt;=6, -100, 0))</f>
        <v>0</v>
      </c>
      <c r="I16" s="8">
        <f>IF(Table2[[#This Row],[Functionality]]&gt;=9, 100, IF(Table2[[#This Row],[Functionality]]&lt;=6, -100, 0))</f>
        <v>0</v>
      </c>
      <c r="J16" s="8">
        <f>IF(Table2[[#This Row],[Stability]]&gt;=9, 100, IF(Table2[[#This Row],[Stability]]&lt;=6, -100, 0))</f>
        <v>0</v>
      </c>
    </row>
    <row r="17" spans="1:10" ht="66" x14ac:dyDescent="0.25">
      <c r="A17" s="7" t="str">
        <f>TEXT(Table2[[#This Row],[Date]], "YYYY-MM")</f>
        <v>2026-04</v>
      </c>
      <c r="B17" s="7">
        <v>46131</v>
      </c>
      <c r="C17" s="6" t="s">
        <v>12</v>
      </c>
      <c r="D17" s="10" t="s">
        <v>49</v>
      </c>
      <c r="E17" s="8" cm="1">
        <f t="array" ref="E17">OLLAMA("Create a rating from 0 to 10 for speed from the following review (DO NOT add extra text. ONLY reply with a number): ", Table2[[#This Row],[Review]])+0</f>
        <v>7</v>
      </c>
      <c r="F17" s="8" cm="1">
        <f t="array" ref="F17">OLLAMA("Create a rating from 0 to 10 for functionality from the following review (DO NOT add extra text. ONLY reply with a number): ", Table2[[#This Row],[Review]])+0</f>
        <v>8</v>
      </c>
      <c r="G17" s="8" cm="1">
        <f t="array" ref="G17">OLLAMA("Create a rating from 0 to 10 for stability from the following review (DO NOT add extra text. ONLY reply with a number): ", Table2[[#This Row],[Review]])+0</f>
        <v>7</v>
      </c>
      <c r="H17" s="8">
        <f>IF(Table2[[#This Row],[Speed]]&gt;=9, 100, IF(Table2[[#This Row],[Speed]]&lt;=6, -100, 0))</f>
        <v>0</v>
      </c>
      <c r="I17" s="8">
        <f>IF(Table2[[#This Row],[Functionality]]&gt;=9, 100, IF(Table2[[#This Row],[Functionality]]&lt;=6, -100, 0))</f>
        <v>0</v>
      </c>
      <c r="J17" s="8">
        <f>IF(Table2[[#This Row],[Stability]]&gt;=9, 100, IF(Table2[[#This Row],[Stability]]&lt;=6, -100, 0))</f>
        <v>0</v>
      </c>
    </row>
    <row r="18" spans="1:10" ht="66" x14ac:dyDescent="0.25">
      <c r="A18" s="7" t="str">
        <f>TEXT(Table2[[#This Row],[Date]], "YYYY-MM")</f>
        <v>2026-04</v>
      </c>
      <c r="B18" s="7">
        <v>46138</v>
      </c>
      <c r="C18" s="6" t="s">
        <v>13</v>
      </c>
      <c r="D18" s="10" t="s">
        <v>50</v>
      </c>
      <c r="E18" s="8" cm="1">
        <f t="array" ref="E18">OLLAMA("Create a rating from 0 to 10 for speed from the following review (DO NOT add extra text. ONLY reply with a number): ", Table2[[#This Row],[Review]])+0</f>
        <v>8</v>
      </c>
      <c r="F18" s="8" cm="1">
        <f t="array" ref="F18">OLLAMA("Create a rating from 0 to 10 for functionality from the following review (DO NOT add extra text. ONLY reply with a number): ", Table2[[#This Row],[Review]])+0</f>
        <v>8</v>
      </c>
      <c r="G18" s="8" cm="1">
        <f t="array" ref="G18">OLLAMA("Create a rating from 0 to 10 for stability from the following review (DO NOT add extra text. ONLY reply with a number): ", Table2[[#This Row],[Review]])+0</f>
        <v>8</v>
      </c>
      <c r="H18" s="8">
        <f>IF(Table2[[#This Row],[Speed]]&gt;=9, 100, IF(Table2[[#This Row],[Speed]]&lt;=6, -100, 0))</f>
        <v>0</v>
      </c>
      <c r="I18" s="8">
        <f>IF(Table2[[#This Row],[Functionality]]&gt;=9, 100, IF(Table2[[#This Row],[Functionality]]&lt;=6, -100, 0))</f>
        <v>0</v>
      </c>
      <c r="J18" s="8">
        <f>IF(Table2[[#This Row],[Stability]]&gt;=9, 100, IF(Table2[[#This Row],[Stability]]&lt;=6, -100, 0))</f>
        <v>0</v>
      </c>
    </row>
    <row r="19" spans="1:10" ht="66" x14ac:dyDescent="0.25">
      <c r="A19" s="7" t="str">
        <f>TEXT(Table2[[#This Row],[Date]], "YYYY-MM")</f>
        <v>2026-05</v>
      </c>
      <c r="B19" s="7">
        <v>46145</v>
      </c>
      <c r="C19" s="6" t="s">
        <v>14</v>
      </c>
      <c r="D19" s="10" t="s">
        <v>51</v>
      </c>
      <c r="E19" s="8" cm="1">
        <f t="array" ref="E19">OLLAMA("Create a rating from 0 to 10 for speed from the following review (DO NOT add extra text. ONLY reply with a number): ", Table2[[#This Row],[Review]])+0</f>
        <v>7</v>
      </c>
      <c r="F19" s="8" cm="1">
        <f t="array" ref="F19">OLLAMA("Create a rating from 0 to 10 for functionality from the following review (DO NOT add extra text. ONLY reply with a number): ", Table2[[#This Row],[Review]])+0</f>
        <v>8</v>
      </c>
      <c r="G19" s="8" cm="1">
        <f t="array" ref="G19">OLLAMA("Create a rating from 0 to 10 for stability from the following review (DO NOT add extra text. ONLY reply with a number): ", Table2[[#This Row],[Review]])+0</f>
        <v>8</v>
      </c>
      <c r="H19" s="8">
        <f>IF(Table2[[#This Row],[Speed]]&gt;=9, 100, IF(Table2[[#This Row],[Speed]]&lt;=6, -100, 0))</f>
        <v>0</v>
      </c>
      <c r="I19" s="8">
        <f>IF(Table2[[#This Row],[Functionality]]&gt;=9, 100, IF(Table2[[#This Row],[Functionality]]&lt;=6, -100, 0))</f>
        <v>0</v>
      </c>
      <c r="J19" s="8">
        <f>IF(Table2[[#This Row],[Stability]]&gt;=9, 100, IF(Table2[[#This Row],[Stability]]&lt;=6, -100, 0))</f>
        <v>0</v>
      </c>
    </row>
    <row r="20" spans="1:10" ht="66" x14ac:dyDescent="0.25">
      <c r="A20" s="7" t="str">
        <f>TEXT(Table2[[#This Row],[Date]], "YYYY-MM")</f>
        <v>2026-05</v>
      </c>
      <c r="B20" s="7">
        <v>46152</v>
      </c>
      <c r="C20" s="6" t="s">
        <v>12</v>
      </c>
      <c r="D20" s="10" t="s">
        <v>52</v>
      </c>
      <c r="E20" s="8" cm="1">
        <f t="array" ref="E20">OLLAMA("Create a rating from 0 to 10 for speed from the following review (DO NOT add extra text. ONLY reply with a number): ", Table2[[#This Row],[Review]])+0</f>
        <v>6</v>
      </c>
      <c r="F20" s="8" cm="1">
        <f t="array" ref="F20">OLLAMA("Create a rating from 0 to 10 for functionality from the following review (DO NOT add extra text. ONLY reply with a number): ", Table2[[#This Row],[Review]])+0</f>
        <v>8</v>
      </c>
      <c r="G20" s="8" cm="1">
        <f t="array" ref="G20">OLLAMA("Create a rating from 0 to 10 for stability from the following review (DO NOT add extra text. ONLY reply with a number): ", Table2[[#This Row],[Review]])+0</f>
        <v>8</v>
      </c>
      <c r="H20" s="8">
        <f>IF(Table2[[#This Row],[Speed]]&gt;=9, 100, IF(Table2[[#This Row],[Speed]]&lt;=6, -100, 0))</f>
        <v>-100</v>
      </c>
      <c r="I20" s="8">
        <f>IF(Table2[[#This Row],[Functionality]]&gt;=9, 100, IF(Table2[[#This Row],[Functionality]]&lt;=6, -100, 0))</f>
        <v>0</v>
      </c>
      <c r="J20" s="8">
        <f>IF(Table2[[#This Row],[Stability]]&gt;=9, 100, IF(Table2[[#This Row],[Stability]]&lt;=6, -100, 0))</f>
        <v>0</v>
      </c>
    </row>
    <row r="21" spans="1:10" ht="66" x14ac:dyDescent="0.25">
      <c r="A21" s="7" t="str">
        <f>TEXT(Table2[[#This Row],[Date]], "YYYY-MM")</f>
        <v>2026-05</v>
      </c>
      <c r="B21" s="7">
        <v>46159</v>
      </c>
      <c r="C21" s="6" t="s">
        <v>13</v>
      </c>
      <c r="D21" s="10" t="s">
        <v>53</v>
      </c>
      <c r="E21" s="8" cm="1">
        <f t="array" ref="E21">OLLAMA("Create a rating from 0 to 10 for speed from the following review (DO NOT add extra text. ONLY reply with a number): ", Table2[[#This Row],[Review]])+0</f>
        <v>7</v>
      </c>
      <c r="F21" s="8" cm="1">
        <f t="array" ref="F21">OLLAMA("Create a rating from 0 to 10 for functionality from the following review (DO NOT add extra text. ONLY reply with a number): ", Table2[[#This Row],[Review]])+0</f>
        <v>7</v>
      </c>
      <c r="G21" s="8" cm="1">
        <f t="array" ref="G21">OLLAMA("Create a rating from 0 to 10 for stability from the following review (DO NOT add extra text. ONLY reply with a number): ", Table2[[#This Row],[Review]])+0</f>
        <v>7</v>
      </c>
      <c r="H21" s="8">
        <f>IF(Table2[[#This Row],[Speed]]&gt;=9, 100, IF(Table2[[#This Row],[Speed]]&lt;=6, -100, 0))</f>
        <v>0</v>
      </c>
      <c r="I21" s="8">
        <f>IF(Table2[[#This Row],[Functionality]]&gt;=9, 100, IF(Table2[[#This Row],[Functionality]]&lt;=6, -100, 0))</f>
        <v>0</v>
      </c>
      <c r="J21" s="8">
        <f>IF(Table2[[#This Row],[Stability]]&gt;=9, 100, IF(Table2[[#This Row],[Stability]]&lt;=6, -100, 0))</f>
        <v>0</v>
      </c>
    </row>
    <row r="22" spans="1:10" ht="66" x14ac:dyDescent="0.25">
      <c r="A22" s="7" t="str">
        <f>TEXT(Table2[[#This Row],[Date]], "YYYY-MM")</f>
        <v>2026-05</v>
      </c>
      <c r="B22" s="7">
        <v>46166</v>
      </c>
      <c r="C22" s="6" t="s">
        <v>14</v>
      </c>
      <c r="D22" s="10" t="s">
        <v>54</v>
      </c>
      <c r="E22" s="8" cm="1">
        <f t="array" ref="E22">OLLAMA("Create a rating from 0 to 10 for speed from the following review (DO NOT add extra text. ONLY reply with a number): ", Table2[[#This Row],[Review]])+0</f>
        <v>7</v>
      </c>
      <c r="F22" s="8" cm="1">
        <f t="array" ref="F22">OLLAMA("Create a rating from 0 to 10 for functionality from the following review (DO NOT add extra text. ONLY reply with a number): ", Table2[[#This Row],[Review]])+0</f>
        <v>7</v>
      </c>
      <c r="G22" s="8" cm="1">
        <f t="array" ref="G22">OLLAMA("Create a rating from 0 to 10 for stability from the following review (DO NOT add extra text. ONLY reply with a number): ", Table2[[#This Row],[Review]])+0</f>
        <v>7</v>
      </c>
      <c r="H22" s="8">
        <f>IF(Table2[[#This Row],[Speed]]&gt;=9, 100, IF(Table2[[#This Row],[Speed]]&lt;=6, -100, 0))</f>
        <v>0</v>
      </c>
      <c r="I22" s="8">
        <f>IF(Table2[[#This Row],[Functionality]]&gt;=9, 100, IF(Table2[[#This Row],[Functionality]]&lt;=6, -100, 0))</f>
        <v>0</v>
      </c>
      <c r="J22" s="8">
        <f>IF(Table2[[#This Row],[Stability]]&gt;=9, 100, IF(Table2[[#This Row],[Stability]]&lt;=6, -100, 0))</f>
        <v>0</v>
      </c>
    </row>
    <row r="23" spans="1:10" ht="66" x14ac:dyDescent="0.25">
      <c r="A23" s="7" t="str">
        <f>TEXT(Table2[[#This Row],[Date]], "YYYY-MM")</f>
        <v>2026-05</v>
      </c>
      <c r="B23" s="7">
        <v>46173</v>
      </c>
      <c r="C23" s="6" t="s">
        <v>12</v>
      </c>
      <c r="D23" s="10" t="s">
        <v>55</v>
      </c>
      <c r="E23" s="8" cm="1">
        <f t="array" ref="E23">OLLAMA("Create a rating from 0 to 10 for speed from the following review (DO NOT add extra text. ONLY reply with a number): ", Table2[[#This Row],[Review]])+0</f>
        <v>7</v>
      </c>
      <c r="F23" s="8" cm="1">
        <f t="array" ref="F23">OLLAMA("Create a rating from 0 to 10 for functionality from the following review (DO NOT add extra text. ONLY reply with a number): ", Table2[[#This Row],[Review]])+0</f>
        <v>8</v>
      </c>
      <c r="G23" s="8" cm="1">
        <f t="array" ref="G23">OLLAMA("Create a rating from 0 to 10 for stability from the following review (DO NOT add extra text. ONLY reply with a number): ", Table2[[#This Row],[Review]])+0</f>
        <v>8</v>
      </c>
      <c r="H23" s="8">
        <f>IF(Table2[[#This Row],[Speed]]&gt;=9, 100, IF(Table2[[#This Row],[Speed]]&lt;=6, -100, 0))</f>
        <v>0</v>
      </c>
      <c r="I23" s="8">
        <f>IF(Table2[[#This Row],[Functionality]]&gt;=9, 100, IF(Table2[[#This Row],[Functionality]]&lt;=6, -100, 0))</f>
        <v>0</v>
      </c>
      <c r="J23" s="8">
        <f>IF(Table2[[#This Row],[Stability]]&gt;=9, 100, IF(Table2[[#This Row],[Stability]]&lt;=6, -100, 0))</f>
        <v>0</v>
      </c>
    </row>
    <row r="24" spans="1:10" ht="66" x14ac:dyDescent="0.25">
      <c r="A24" s="7" t="str">
        <f>TEXT(Table2[[#This Row],[Date]], "YYYY-MM")</f>
        <v>2026-06</v>
      </c>
      <c r="B24" s="7">
        <v>46180</v>
      </c>
      <c r="C24" s="6" t="s">
        <v>13</v>
      </c>
      <c r="D24" s="10" t="s">
        <v>56</v>
      </c>
      <c r="E24" s="8" cm="1">
        <f t="array" ref="E24">OLLAMA("Create a rating from 0 to 10 for speed from the following review (DO NOT add extra text. ONLY reply with a number): ", Table2[[#This Row],[Review]])+0</f>
        <v>9</v>
      </c>
      <c r="F24" s="8" cm="1">
        <f t="array" ref="F24">OLLAMA("Create a rating from 0 to 10 for functionality from the following review (DO NOT add extra text. ONLY reply with a number): ", Table2[[#This Row],[Review]])+0</f>
        <v>9</v>
      </c>
      <c r="G24" s="8" cm="1">
        <f t="array" ref="G24">OLLAMA("Create a rating from 0 to 10 for stability from the following review (DO NOT add extra text. ONLY reply with a number): ", Table2[[#This Row],[Review]])+0</f>
        <v>8</v>
      </c>
      <c r="H24" s="8">
        <f>IF(Table2[[#This Row],[Speed]]&gt;=9, 100, IF(Table2[[#This Row],[Speed]]&lt;=6, -100, 0))</f>
        <v>100</v>
      </c>
      <c r="I24" s="8">
        <f>IF(Table2[[#This Row],[Functionality]]&gt;=9, 100, IF(Table2[[#This Row],[Functionality]]&lt;=6, -100, 0))</f>
        <v>100</v>
      </c>
      <c r="J24" s="8">
        <f>IF(Table2[[#This Row],[Stability]]&gt;=9, 100, IF(Table2[[#This Row],[Stability]]&lt;=6, -100, 0))</f>
        <v>0</v>
      </c>
    </row>
    <row r="25" spans="1:10" ht="66" x14ac:dyDescent="0.25">
      <c r="A25" s="7" t="str">
        <f>TEXT(Table2[[#This Row],[Date]], "YYYY-MM")</f>
        <v>2026-06</v>
      </c>
      <c r="B25" s="7">
        <v>46187</v>
      </c>
      <c r="C25" s="6" t="s">
        <v>14</v>
      </c>
      <c r="D25" s="10" t="s">
        <v>57</v>
      </c>
      <c r="E25" s="8" cm="1">
        <f t="array" ref="E25">OLLAMA("Create a rating from 0 to 10 for speed from the following review (DO NOT add extra text. ONLY reply with a number): ", Table2[[#This Row],[Review]])+0</f>
        <v>8</v>
      </c>
      <c r="F25" s="8" cm="1">
        <f t="array" ref="F25">OLLAMA("Create a rating from 0 to 10 for functionality from the following review (DO NOT add extra text. ONLY reply with a number): ", Table2[[#This Row],[Review]])+0</f>
        <v>8</v>
      </c>
      <c r="G25" s="8" cm="1">
        <f t="array" ref="G25">OLLAMA("Create a rating from 0 to 10 for stability from the following review (DO NOT add extra text. ONLY reply with a number): ", Table2[[#This Row],[Review]])+0</f>
        <v>9</v>
      </c>
      <c r="H25" s="8">
        <f>IF(Table2[[#This Row],[Speed]]&gt;=9, 100, IF(Table2[[#This Row],[Speed]]&lt;=6, -100, 0))</f>
        <v>0</v>
      </c>
      <c r="I25" s="8">
        <f>IF(Table2[[#This Row],[Functionality]]&gt;=9, 100, IF(Table2[[#This Row],[Functionality]]&lt;=6, -100, 0))</f>
        <v>0</v>
      </c>
      <c r="J25" s="8">
        <f>IF(Table2[[#This Row],[Stability]]&gt;=9, 100, IF(Table2[[#This Row],[Stability]]&lt;=6, -100, 0))</f>
        <v>100</v>
      </c>
    </row>
    <row r="26" spans="1:10" ht="66" x14ac:dyDescent="0.25">
      <c r="A26" s="7" t="str">
        <f>TEXT(Table2[[#This Row],[Date]], "YYYY-MM")</f>
        <v>2026-06</v>
      </c>
      <c r="B26" s="7">
        <v>46194</v>
      </c>
      <c r="C26" s="6" t="s">
        <v>12</v>
      </c>
      <c r="D26" s="10" t="s">
        <v>58</v>
      </c>
      <c r="E26" s="8" cm="1">
        <f t="array" ref="E26">OLLAMA("Create a rating from 0 to 10 for speed from the following review (DO NOT add extra text. ONLY reply with a number): ", Table2[[#This Row],[Review]])+0</f>
        <v>8</v>
      </c>
      <c r="F26" s="8" cm="1">
        <f t="array" ref="F26">OLLAMA("Create a rating from 0 to 10 for functionality from the following review (DO NOT add extra text. ONLY reply with a number): ", Table2[[#This Row],[Review]])+0</f>
        <v>9</v>
      </c>
      <c r="G26" s="8" cm="1">
        <f t="array" ref="G26">OLLAMA("Create a rating from 0 to 10 for stability from the following review (DO NOT add extra text. ONLY reply with a number): ", Table2[[#This Row],[Review]])+0</f>
        <v>9</v>
      </c>
      <c r="H26" s="8">
        <f>IF(Table2[[#This Row],[Speed]]&gt;=9, 100, IF(Table2[[#This Row],[Speed]]&lt;=6, -100, 0))</f>
        <v>0</v>
      </c>
      <c r="I26" s="8">
        <f>IF(Table2[[#This Row],[Functionality]]&gt;=9, 100, IF(Table2[[#This Row],[Functionality]]&lt;=6, -100, 0))</f>
        <v>100</v>
      </c>
      <c r="J26" s="8">
        <f>IF(Table2[[#This Row],[Stability]]&gt;=9, 100, IF(Table2[[#This Row],[Stability]]&lt;=6, -100, 0))</f>
        <v>100</v>
      </c>
    </row>
    <row r="27" spans="1:10" ht="66" x14ac:dyDescent="0.25">
      <c r="A27" s="7" t="str">
        <f>TEXT(Table2[[#This Row],[Date]], "YYYY-MM")</f>
        <v>2026-06</v>
      </c>
      <c r="B27" s="7">
        <v>46201</v>
      </c>
      <c r="C27" s="6" t="s">
        <v>13</v>
      </c>
      <c r="D27" s="10" t="s">
        <v>59</v>
      </c>
      <c r="E27" s="8" cm="1">
        <f t="array" ref="E27">OLLAMA("Create a rating from 0 to 10 for speed from the following review (DO NOT add extra text. ONLY reply with a number): ", Table2[[#This Row],[Review]])+0</f>
        <v>9</v>
      </c>
      <c r="F27" s="8" cm="1">
        <f t="array" ref="F27">OLLAMA("Create a rating from 0 to 10 for functionality from the following review (DO NOT add extra text. ONLY reply with a number): ", Table2[[#This Row],[Review]])+0</f>
        <v>9</v>
      </c>
      <c r="G27" s="8" cm="1">
        <f t="array" ref="G27">OLLAMA("Create a rating from 0 to 10 for stability from the following review (DO NOT add extra text. ONLY reply with a number): ", Table2[[#This Row],[Review]])+0</f>
        <v>9</v>
      </c>
      <c r="H27" s="8">
        <f>IF(Table2[[#This Row],[Speed]]&gt;=9, 100, IF(Table2[[#This Row],[Speed]]&lt;=6, -100, 0))</f>
        <v>100</v>
      </c>
      <c r="I27" s="8">
        <f>IF(Table2[[#This Row],[Functionality]]&gt;=9, 100, IF(Table2[[#This Row],[Functionality]]&lt;=6, -100, 0))</f>
        <v>100</v>
      </c>
      <c r="J27" s="8">
        <f>IF(Table2[[#This Row],[Stability]]&gt;=9, 100, IF(Table2[[#This Row],[Stability]]&lt;=6, -100, 0))</f>
        <v>100</v>
      </c>
    </row>
    <row r="28" spans="1:10" ht="66" x14ac:dyDescent="0.25">
      <c r="A28" s="7" t="str">
        <f>TEXT(Table2[[#This Row],[Date]], "YYYY-MM")</f>
        <v>2026-07</v>
      </c>
      <c r="B28" s="7">
        <v>46208</v>
      </c>
      <c r="C28" s="6" t="s">
        <v>14</v>
      </c>
      <c r="D28" s="10" t="s">
        <v>60</v>
      </c>
      <c r="E28" s="8" cm="1">
        <f t="array" ref="E28">OLLAMA("Create a rating from 0 to 10 for speed from the following review (DO NOT add extra text. ONLY reply with a number): ", Table2[[#This Row],[Review]])+0</f>
        <v>9</v>
      </c>
      <c r="F28" s="8" cm="1">
        <f t="array" ref="F28">OLLAMA("Create a rating from 0 to 10 for functionality from the following review (DO NOT add extra text. ONLY reply with a number): ", Table2[[#This Row],[Review]])+0</f>
        <v>9</v>
      </c>
      <c r="G28" s="8" cm="1">
        <f t="array" ref="G28">OLLAMA("Create a rating from 0 to 10 for stability from the following review (DO NOT add extra text. ONLY reply with a number): ", Table2[[#This Row],[Review]])+0</f>
        <v>9</v>
      </c>
      <c r="H28" s="8">
        <f>IF(Table2[[#This Row],[Speed]]&gt;=9, 100, IF(Table2[[#This Row],[Speed]]&lt;=6, -100, 0))</f>
        <v>100</v>
      </c>
      <c r="I28" s="8">
        <f>IF(Table2[[#This Row],[Functionality]]&gt;=9, 100, IF(Table2[[#This Row],[Functionality]]&lt;=6, -100, 0))</f>
        <v>100</v>
      </c>
      <c r="J28" s="8">
        <f>IF(Table2[[#This Row],[Stability]]&gt;=9, 100, IF(Table2[[#This Row],[Stability]]&lt;=6, -100, 0))</f>
        <v>100</v>
      </c>
    </row>
    <row r="29" spans="1:10" ht="66" x14ac:dyDescent="0.25">
      <c r="A29" s="7" t="str">
        <f>TEXT(Table2[[#This Row],[Date]], "YYYY-MM")</f>
        <v>2026-07</v>
      </c>
      <c r="B29" s="7">
        <v>46215</v>
      </c>
      <c r="C29" s="6" t="s">
        <v>12</v>
      </c>
      <c r="D29" s="10" t="s">
        <v>61</v>
      </c>
      <c r="E29" s="8" cm="1">
        <f t="array" ref="E29">OLLAMA("Create a rating from 0 to 10 for speed from the following review (DO NOT add extra text. ONLY reply with a number): ", Table2[[#This Row],[Review]])+0</f>
        <v>9</v>
      </c>
      <c r="F29" s="8" cm="1">
        <f t="array" ref="F29">OLLAMA("Create a rating from 0 to 10 for functionality from the following review (DO NOT add extra text. ONLY reply with a number): ", Table2[[#This Row],[Review]])+0</f>
        <v>9</v>
      </c>
      <c r="G29" s="8" cm="1">
        <f t="array" ref="G29">OLLAMA("Create a rating from 0 to 10 for stability from the following review (DO NOT add extra text. ONLY reply with a number): ", Table2[[#This Row],[Review]])+0</f>
        <v>9</v>
      </c>
      <c r="H29" s="8">
        <f>IF(Table2[[#This Row],[Speed]]&gt;=9, 100, IF(Table2[[#This Row],[Speed]]&lt;=6, -100, 0))</f>
        <v>100</v>
      </c>
      <c r="I29" s="8">
        <f>IF(Table2[[#This Row],[Functionality]]&gt;=9, 100, IF(Table2[[#This Row],[Functionality]]&lt;=6, -100, 0))</f>
        <v>100</v>
      </c>
      <c r="J29" s="8">
        <f>IF(Table2[[#This Row],[Stability]]&gt;=9, 100, IF(Table2[[#This Row],[Stability]]&lt;=6, -100, 0))</f>
        <v>100</v>
      </c>
    </row>
    <row r="30" spans="1:10" ht="66" x14ac:dyDescent="0.25">
      <c r="A30" s="7" t="str">
        <f>TEXT(Table2[[#This Row],[Date]], "YYYY-MM")</f>
        <v>2026-07</v>
      </c>
      <c r="B30" s="7">
        <v>46222</v>
      </c>
      <c r="C30" s="6" t="s">
        <v>13</v>
      </c>
      <c r="D30" s="10" t="s">
        <v>137</v>
      </c>
      <c r="E30" s="8" cm="1">
        <f t="array" ref="E30">OLLAMA("Create a rating from 0 to 10 for speed from the following review (DO NOT add extra text. ONLY reply with a number): ", Table2[[#This Row],[Review]])+0</f>
        <v>6</v>
      </c>
      <c r="F30" s="8" cm="1">
        <f t="array" ref="F30">OLLAMA("Create a rating from 0 to 10 for functionality from the following review (DO NOT add extra text. ONLY reply with a number): ", Table2[[#This Row],[Review]])+0</f>
        <v>8</v>
      </c>
      <c r="G30" s="8" cm="1">
        <f t="array" ref="G30">OLLAMA("Create a rating from 0 to 10 for stability from the following review (DO NOT add extra text. ONLY reply with a number): ", Table2[[#This Row],[Review]])+0</f>
        <v>9</v>
      </c>
      <c r="H30" s="8">
        <f>IF(Table2[[#This Row],[Speed]]&gt;=9, 100, IF(Table2[[#This Row],[Speed]]&lt;=6, -100, 0))</f>
        <v>-100</v>
      </c>
      <c r="I30" s="8">
        <f>IF(Table2[[#This Row],[Functionality]]&gt;=9, 100, IF(Table2[[#This Row],[Functionality]]&lt;=6, -100, 0))</f>
        <v>0</v>
      </c>
      <c r="J30" s="8">
        <f>IF(Table2[[#This Row],[Stability]]&gt;=9, 100, IF(Table2[[#This Row],[Stability]]&lt;=6, -100, 0))</f>
        <v>100</v>
      </c>
    </row>
    <row r="31" spans="1:10" ht="66" x14ac:dyDescent="0.25">
      <c r="A31" s="7" t="str">
        <f>TEXT(Table2[[#This Row],[Date]], "YYYY-MM")</f>
        <v>2026-07</v>
      </c>
      <c r="B31" s="7">
        <v>46229</v>
      </c>
      <c r="C31" s="6" t="s">
        <v>14</v>
      </c>
      <c r="D31" s="10" t="s">
        <v>62</v>
      </c>
      <c r="E31" s="8" cm="1">
        <f t="array" ref="E31">OLLAMA("Create a rating from 0 to 10 for speed from the following review (DO NOT add extra text. ONLY reply with a number): ", Table2[[#This Row],[Review]])+0</f>
        <v>9</v>
      </c>
      <c r="F31" s="8" cm="1">
        <f t="array" ref="F31">OLLAMA("Create a rating from 0 to 10 for functionality from the following review (DO NOT add extra text. ONLY reply with a number): ", Table2[[#This Row],[Review]])+0</f>
        <v>9</v>
      </c>
      <c r="G31" s="8" cm="1">
        <f t="array" ref="G31">OLLAMA("Create a rating from 0 to 10 for stability from the following review (DO NOT add extra text. ONLY reply with a number): ", Table2[[#This Row],[Review]])+0</f>
        <v>10</v>
      </c>
      <c r="H31" s="8">
        <f>IF(Table2[[#This Row],[Speed]]&gt;=9, 100, IF(Table2[[#This Row],[Speed]]&lt;=6, -100, 0))</f>
        <v>100</v>
      </c>
      <c r="I31" s="8">
        <f>IF(Table2[[#This Row],[Functionality]]&gt;=9, 100, IF(Table2[[#This Row],[Functionality]]&lt;=6, -100, 0))</f>
        <v>100</v>
      </c>
      <c r="J31" s="8">
        <f>IF(Table2[[#This Row],[Stability]]&gt;=9, 100, IF(Table2[[#This Row],[Stability]]&lt;=6, -100, 0))</f>
        <v>100</v>
      </c>
    </row>
    <row r="32" spans="1:10" ht="66" x14ac:dyDescent="0.25">
      <c r="A32" s="7" t="str">
        <f>TEXT(Table2[[#This Row],[Date]], "YYYY-MM")</f>
        <v>2026-08</v>
      </c>
      <c r="B32" s="7">
        <v>46236</v>
      </c>
      <c r="C32" s="6" t="s">
        <v>12</v>
      </c>
      <c r="D32" s="10" t="s">
        <v>63</v>
      </c>
      <c r="E32" s="8" cm="1">
        <f t="array" ref="E32">OLLAMA("Create a rating from 0 to 10 for speed from the following review (DO NOT add extra text. ONLY reply with a number): ", Table2[[#This Row],[Review]])+0</f>
        <v>9</v>
      </c>
      <c r="F32" s="8" cm="1">
        <f t="array" ref="F32">OLLAMA("Create a rating from 0 to 10 for functionality from the following review (DO NOT add extra text. ONLY reply with a number): ", Table2[[#This Row],[Review]])+0</f>
        <v>10</v>
      </c>
      <c r="G32" s="8" cm="1">
        <f t="array" ref="G32">OLLAMA("Create a rating from 0 to 10 for stability from the following review (DO NOT add extra text. ONLY reply with a number): ", Table2[[#This Row],[Review]])+0</f>
        <v>9</v>
      </c>
      <c r="H32" s="8">
        <f>IF(Table2[[#This Row],[Speed]]&gt;=9, 100, IF(Table2[[#This Row],[Speed]]&lt;=6, -100, 0))</f>
        <v>100</v>
      </c>
      <c r="I32" s="8">
        <f>IF(Table2[[#This Row],[Functionality]]&gt;=9, 100, IF(Table2[[#This Row],[Functionality]]&lt;=6, -100, 0))</f>
        <v>100</v>
      </c>
      <c r="J32" s="8">
        <f>IF(Table2[[#This Row],[Stability]]&gt;=9, 100, IF(Table2[[#This Row],[Stability]]&lt;=6, -100, 0))</f>
        <v>100</v>
      </c>
    </row>
    <row r="33" spans="1:10" ht="66" x14ac:dyDescent="0.25">
      <c r="A33" s="7" t="str">
        <f>TEXT(Table2[[#This Row],[Date]], "YYYY-MM")</f>
        <v>2026-08</v>
      </c>
      <c r="B33" s="7">
        <v>46243</v>
      </c>
      <c r="C33" s="6" t="s">
        <v>13</v>
      </c>
      <c r="D33" s="10" t="s">
        <v>136</v>
      </c>
      <c r="E33" s="8" cm="1">
        <f t="array" ref="E33">OLLAMA("Create a rating from 0 to 10 for speed from the following review (DO NOT add extra text. ONLY reply with a number): ", Table2[[#This Row],[Review]])+0</f>
        <v>4</v>
      </c>
      <c r="F33" s="8" cm="1">
        <f t="array" ref="F33">OLLAMA("Create a rating from 0 to 10 for functionality from the following review (DO NOT add extra text. ONLY reply with a number): ", Table2[[#This Row],[Review]])+0</f>
        <v>8</v>
      </c>
      <c r="G33" s="8" cm="1">
        <f t="array" ref="G33">OLLAMA("Create a rating from 0 to 10 for stability from the following review (DO NOT add extra text. ONLY reply with a number): ", Table2[[#This Row],[Review]])+0</f>
        <v>9</v>
      </c>
      <c r="H33" s="8">
        <f>IF(Table2[[#This Row],[Speed]]&gt;=9, 100, IF(Table2[[#This Row],[Speed]]&lt;=6, -100, 0))</f>
        <v>-100</v>
      </c>
      <c r="I33" s="8">
        <f>IF(Table2[[#This Row],[Functionality]]&gt;=9, 100, IF(Table2[[#This Row],[Functionality]]&lt;=6, -100, 0))</f>
        <v>0</v>
      </c>
      <c r="J33" s="8">
        <f>IF(Table2[[#This Row],[Stability]]&gt;=9, 100, IF(Table2[[#This Row],[Stability]]&lt;=6, -100, 0))</f>
        <v>100</v>
      </c>
    </row>
    <row r="34" spans="1:10" ht="66" x14ac:dyDescent="0.25">
      <c r="A34" s="7" t="str">
        <f>TEXT(Table2[[#This Row],[Date]], "YYYY-MM")</f>
        <v>2026-08</v>
      </c>
      <c r="B34" s="7">
        <v>46250</v>
      </c>
      <c r="C34" s="6" t="s">
        <v>14</v>
      </c>
      <c r="D34" s="10" t="s">
        <v>64</v>
      </c>
      <c r="E34" s="8" cm="1">
        <f t="array" ref="E34">OLLAMA("Create a rating from 0 to 10 for speed from the following review (DO NOT add extra text. ONLY reply with a number): ", Table2[[#This Row],[Review]])+0</f>
        <v>10</v>
      </c>
      <c r="F34" s="8" cm="1">
        <f t="array" ref="F34">OLLAMA("Create a rating from 0 to 10 for functionality from the following review (DO NOT add extra text. ONLY reply with a number): ", Table2[[#This Row],[Review]])+0</f>
        <v>10</v>
      </c>
      <c r="G34" s="8" cm="1">
        <f t="array" ref="G34">OLLAMA("Create a rating from 0 to 10 for stability from the following review (DO NOT add extra text. ONLY reply with a number): ", Table2[[#This Row],[Review]])+0</f>
        <v>10</v>
      </c>
      <c r="H34" s="8">
        <f>IF(Table2[[#This Row],[Speed]]&gt;=9, 100, IF(Table2[[#This Row],[Speed]]&lt;=6, -100, 0))</f>
        <v>100</v>
      </c>
      <c r="I34" s="8">
        <f>IF(Table2[[#This Row],[Functionality]]&gt;=9, 100, IF(Table2[[#This Row],[Functionality]]&lt;=6, -100, 0))</f>
        <v>100</v>
      </c>
      <c r="J34" s="8">
        <f>IF(Table2[[#This Row],[Stability]]&gt;=9, 100, IF(Table2[[#This Row],[Stability]]&lt;=6, -100, 0))</f>
        <v>100</v>
      </c>
    </row>
    <row r="35" spans="1:10" ht="66" x14ac:dyDescent="0.25">
      <c r="A35" s="7" t="str">
        <f>TEXT(Table2[[#This Row],[Date]], "YYYY-MM")</f>
        <v>2026-08</v>
      </c>
      <c r="B35" s="7">
        <v>46257</v>
      </c>
      <c r="C35" s="6" t="s">
        <v>12</v>
      </c>
      <c r="D35" s="10" t="s">
        <v>65</v>
      </c>
      <c r="E35" s="8" cm="1">
        <f t="array" ref="E35">OLLAMA("Create a rating from 0 to 10 for speed from the following review (DO NOT add extra text. ONLY reply with a number): ", Table2[[#This Row],[Review]])+0</f>
        <v>9</v>
      </c>
      <c r="F35" s="8" cm="1">
        <f t="array" ref="F35">OLLAMA("Create a rating from 0 to 10 for functionality from the following review (DO NOT add extra text. ONLY reply with a number): ", Table2[[#This Row],[Review]])+0</f>
        <v>9</v>
      </c>
      <c r="G35" s="8" cm="1">
        <f t="array" ref="G35">OLLAMA("Create a rating from 0 to 10 for stability from the following review (DO NOT add extra text. ONLY reply with a number): ", Table2[[#This Row],[Review]])+0</f>
        <v>9</v>
      </c>
      <c r="H35" s="8">
        <f>IF(Table2[[#This Row],[Speed]]&gt;=9, 100, IF(Table2[[#This Row],[Speed]]&lt;=6, -100, 0))</f>
        <v>100</v>
      </c>
      <c r="I35" s="8">
        <f>IF(Table2[[#This Row],[Functionality]]&gt;=9, 100, IF(Table2[[#This Row],[Functionality]]&lt;=6, -100, 0))</f>
        <v>100</v>
      </c>
      <c r="J35" s="8">
        <f>IF(Table2[[#This Row],[Stability]]&gt;=9, 100, IF(Table2[[#This Row],[Stability]]&lt;=6, -100, 0))</f>
        <v>100</v>
      </c>
    </row>
    <row r="36" spans="1:10" ht="66" x14ac:dyDescent="0.25">
      <c r="A36" s="7" t="str">
        <f>TEXT(Table2[[#This Row],[Date]], "YYYY-MM")</f>
        <v>2026-08</v>
      </c>
      <c r="B36" s="7">
        <v>46264</v>
      </c>
      <c r="C36" s="6" t="s">
        <v>13</v>
      </c>
      <c r="D36" s="10" t="s">
        <v>135</v>
      </c>
      <c r="E36" s="8" cm="1">
        <f t="array" ref="E36">OLLAMA("Create a rating from 0 to 10 for speed from the following review (DO NOT add extra text. ONLY reply with a number): ", Table2[[#This Row],[Review]])+0</f>
        <v>4</v>
      </c>
      <c r="F36" s="8" cm="1">
        <f t="array" ref="F36">OLLAMA("Create a rating from 0 to 10 for functionality from the following review (DO NOT add extra text. ONLY reply with a number): ", Table2[[#This Row],[Review]])+0</f>
        <v>8</v>
      </c>
      <c r="G36" s="8" cm="1">
        <f t="array" ref="G36">OLLAMA("Create a rating from 0 to 10 for stability from the following review (DO NOT add extra text. ONLY reply with a number): ", Table2[[#This Row],[Review]])+0</f>
        <v>9</v>
      </c>
      <c r="H36" s="8">
        <f>IF(Table2[[#This Row],[Speed]]&gt;=9, 100, IF(Table2[[#This Row],[Speed]]&lt;=6, -100, 0))</f>
        <v>-100</v>
      </c>
      <c r="I36" s="8">
        <f>IF(Table2[[#This Row],[Functionality]]&gt;=9, 100, IF(Table2[[#This Row],[Functionality]]&lt;=6, -100, 0))</f>
        <v>0</v>
      </c>
      <c r="J36" s="8">
        <f>IF(Table2[[#This Row],[Stability]]&gt;=9, 100, IF(Table2[[#This Row],[Stability]]&lt;=6, -100, 0))</f>
        <v>100</v>
      </c>
    </row>
    <row r="37" spans="1:10" ht="66" x14ac:dyDescent="0.25">
      <c r="A37" s="7" t="str">
        <f>TEXT(Table2[[#This Row],[Date]], "YYYY-MM")</f>
        <v>2026-09</v>
      </c>
      <c r="B37" s="7">
        <v>46271</v>
      </c>
      <c r="C37" s="6" t="s">
        <v>14</v>
      </c>
      <c r="D37" s="10" t="s">
        <v>66</v>
      </c>
      <c r="E37" s="8" cm="1">
        <f t="array" ref="E37">OLLAMA("Create a rating from 0 to 10 for speed from the following review (DO NOT add extra text. ONLY reply with a number): ", Table2[[#This Row],[Review]])+0</f>
        <v>9</v>
      </c>
      <c r="F37" s="8" cm="1">
        <f t="array" ref="F37">OLLAMA("Create a rating from 0 to 10 for functionality from the following review (DO NOT add extra text. ONLY reply with a number): ", Table2[[#This Row],[Review]])+0</f>
        <v>9</v>
      </c>
      <c r="G37" s="8" cm="1">
        <f t="array" ref="G37">OLLAMA("Create a rating from 0 to 10 for stability from the following review (DO NOT add extra text. ONLY reply with a number): ", Table2[[#This Row],[Review]])+0</f>
        <v>9</v>
      </c>
      <c r="H37" s="8">
        <f>IF(Table2[[#This Row],[Speed]]&gt;=9, 100, IF(Table2[[#This Row],[Speed]]&lt;=6, -100, 0))</f>
        <v>100</v>
      </c>
      <c r="I37" s="8">
        <f>IF(Table2[[#This Row],[Functionality]]&gt;=9, 100, IF(Table2[[#This Row],[Functionality]]&lt;=6, -100, 0))</f>
        <v>100</v>
      </c>
      <c r="J37" s="8">
        <f>IF(Table2[[#This Row],[Stability]]&gt;=9, 100, IF(Table2[[#This Row],[Stability]]&lt;=6, -100, 0))</f>
        <v>100</v>
      </c>
    </row>
    <row r="38" spans="1:10" ht="66" x14ac:dyDescent="0.25">
      <c r="A38" s="7" t="str">
        <f>TEXT(Table2[[#This Row],[Date]], "YYYY-MM")</f>
        <v>2026-09</v>
      </c>
      <c r="B38" s="7">
        <v>46278</v>
      </c>
      <c r="C38" s="6" t="s">
        <v>12</v>
      </c>
      <c r="D38" s="10" t="s">
        <v>67</v>
      </c>
      <c r="E38" s="8" cm="1">
        <f t="array" ref="E38">OLLAMA("Create a rating from 0 to 10 for speed from the following review (DO NOT add extra text. ONLY reply with a number): ", Table2[[#This Row],[Review]])+0</f>
        <v>9</v>
      </c>
      <c r="F38" s="8" cm="1">
        <f t="array" ref="F38">OLLAMA("Create a rating from 0 to 10 for functionality from the following review (DO NOT add extra text. ONLY reply with a number): ", Table2[[#This Row],[Review]])+0</f>
        <v>10</v>
      </c>
      <c r="G38" s="8" cm="1">
        <f t="array" ref="G38">OLLAMA("Create a rating from 0 to 10 for stability from the following review (DO NOT add extra text. ONLY reply with a number): ", Table2[[#This Row],[Review]])+0</f>
        <v>9</v>
      </c>
      <c r="H38" s="8">
        <f>IF(Table2[[#This Row],[Speed]]&gt;=9, 100, IF(Table2[[#This Row],[Speed]]&lt;=6, -100, 0))</f>
        <v>100</v>
      </c>
      <c r="I38" s="8">
        <f>IF(Table2[[#This Row],[Functionality]]&gt;=9, 100, IF(Table2[[#This Row],[Functionality]]&lt;=6, -100, 0))</f>
        <v>100</v>
      </c>
      <c r="J38" s="8">
        <f>IF(Table2[[#This Row],[Stability]]&gt;=9, 100, IF(Table2[[#This Row],[Stability]]&lt;=6, -100, 0))</f>
        <v>100</v>
      </c>
    </row>
    <row r="39" spans="1:10" ht="66" x14ac:dyDescent="0.25">
      <c r="A39" s="7" t="str">
        <f>TEXT(Table2[[#This Row],[Date]], "YYYY-MM")</f>
        <v>2026-09</v>
      </c>
      <c r="B39" s="7">
        <v>46285</v>
      </c>
      <c r="C39" s="6" t="s">
        <v>13</v>
      </c>
      <c r="D39" s="10" t="s">
        <v>134</v>
      </c>
      <c r="E39" s="8" cm="1">
        <f t="array" ref="E39">OLLAMA("Create a rating from 0 to 10 for speed from the following review (DO NOT add extra text. ONLY reply with a number): ", Table2[[#This Row],[Review]])+0</f>
        <v>4</v>
      </c>
      <c r="F39" s="8" cm="1">
        <f t="array" ref="F39">OLLAMA("Create a rating from 0 to 10 for functionality from the following review (DO NOT add extra text. ONLY reply with a number): ", Table2[[#This Row],[Review]])+0</f>
        <v>9</v>
      </c>
      <c r="G39" s="8" cm="1">
        <f t="array" ref="G39">OLLAMA("Create a rating from 0 to 10 for stability from the following review (DO NOT add extra text. ONLY reply with a number): ", Table2[[#This Row],[Review]])+0</f>
        <v>9</v>
      </c>
      <c r="H39" s="8">
        <f>IF(Table2[[#This Row],[Speed]]&gt;=9, 100, IF(Table2[[#This Row],[Speed]]&lt;=6, -100, 0))</f>
        <v>-100</v>
      </c>
      <c r="I39" s="8">
        <f>IF(Table2[[#This Row],[Functionality]]&gt;=9, 100, IF(Table2[[#This Row],[Functionality]]&lt;=6, -100, 0))</f>
        <v>100</v>
      </c>
      <c r="J39" s="8">
        <f>IF(Table2[[#This Row],[Stability]]&gt;=9, 100, IF(Table2[[#This Row],[Stability]]&lt;=6, -100, 0))</f>
        <v>100</v>
      </c>
    </row>
    <row r="40" spans="1:10" ht="66" x14ac:dyDescent="0.25">
      <c r="A40" s="7" t="str">
        <f>TEXT(Table2[[#This Row],[Date]], "YYYY-MM")</f>
        <v>2026-09</v>
      </c>
      <c r="B40" s="7">
        <v>46292</v>
      </c>
      <c r="C40" s="6" t="s">
        <v>14</v>
      </c>
      <c r="D40" s="10" t="s">
        <v>68</v>
      </c>
      <c r="E40" s="8" cm="1">
        <f t="array" ref="E40">OLLAMA("Create a rating from 0 to 10 for speed from the following review (DO NOT add extra text. ONLY reply with a number): ", Table2[[#This Row],[Review]])+0</f>
        <v>9</v>
      </c>
      <c r="F40" s="8" cm="1">
        <f t="array" ref="F40">OLLAMA("Create a rating from 0 to 10 for functionality from the following review (DO NOT add extra text. ONLY reply with a number): ", Table2[[#This Row],[Review]])+0</f>
        <v>9</v>
      </c>
      <c r="G40" s="8" cm="1">
        <f t="array" ref="G40">OLLAMA("Create a rating from 0 to 10 for stability from the following review (DO NOT add extra text. ONLY reply with a number): ", Table2[[#This Row],[Review]])+0</f>
        <v>9</v>
      </c>
      <c r="H40" s="8">
        <f>IF(Table2[[#This Row],[Speed]]&gt;=9, 100, IF(Table2[[#This Row],[Speed]]&lt;=6, -100, 0))</f>
        <v>100</v>
      </c>
      <c r="I40" s="8">
        <f>IF(Table2[[#This Row],[Functionality]]&gt;=9, 100, IF(Table2[[#This Row],[Functionality]]&lt;=6, -100, 0))</f>
        <v>100</v>
      </c>
      <c r="J40" s="8">
        <f>IF(Table2[[#This Row],[Stability]]&gt;=9, 100, IF(Table2[[#This Row],[Stability]]&lt;=6, -100, 0))</f>
        <v>100</v>
      </c>
    </row>
    <row r="41" spans="1:10" ht="66" x14ac:dyDescent="0.25">
      <c r="A41" s="7" t="str">
        <f>TEXT(Table2[[#This Row],[Date]], "YYYY-MM")</f>
        <v>2026-10</v>
      </c>
      <c r="B41" s="7">
        <v>46299</v>
      </c>
      <c r="C41" s="6" t="s">
        <v>12</v>
      </c>
      <c r="D41" s="10" t="s">
        <v>69</v>
      </c>
      <c r="E41" s="8" cm="1">
        <f t="array" ref="E41">OLLAMA("Create a rating from 0 to 10 for speed from the following review (DO NOT add extra text. ONLY reply with a number): ", Table2[[#This Row],[Review]])+0</f>
        <v>9</v>
      </c>
      <c r="F41" s="8" cm="1">
        <f t="array" ref="F41">OLLAMA("Create a rating from 0 to 10 for functionality from the following review (DO NOT add extra text. ONLY reply with a number): ", Table2[[#This Row],[Review]])+0</f>
        <v>10</v>
      </c>
      <c r="G41" s="8" cm="1">
        <f t="array" ref="G41">OLLAMA("Create a rating from 0 to 10 for stability from the following review (DO NOT add extra text. ONLY reply with a number): ", Table2[[#This Row],[Review]])+0</f>
        <v>10</v>
      </c>
      <c r="H41" s="8">
        <f>IF(Table2[[#This Row],[Speed]]&gt;=9, 100, IF(Table2[[#This Row],[Speed]]&lt;=6, -100, 0))</f>
        <v>100</v>
      </c>
      <c r="I41" s="8">
        <f>IF(Table2[[#This Row],[Functionality]]&gt;=9, 100, IF(Table2[[#This Row],[Functionality]]&lt;=6, -100, 0))</f>
        <v>100</v>
      </c>
      <c r="J41" s="8">
        <f>IF(Table2[[#This Row],[Stability]]&gt;=9, 100, IF(Table2[[#This Row],[Stability]]&lt;=6, -100, 0))</f>
        <v>100</v>
      </c>
    </row>
    <row r="42" spans="1:10" ht="66" x14ac:dyDescent="0.25">
      <c r="A42" s="7" t="str">
        <f>TEXT(Table2[[#This Row],[Date]], "YYYY-MM")</f>
        <v>2026-10</v>
      </c>
      <c r="B42" s="7">
        <v>46306</v>
      </c>
      <c r="C42" s="6" t="s">
        <v>13</v>
      </c>
      <c r="D42" s="10" t="s">
        <v>133</v>
      </c>
      <c r="E42" s="8" cm="1">
        <f t="array" ref="E42">OLLAMA("Create a rating from 0 to 10 for speed from the following review (DO NOT add extra text. ONLY reply with a number): ", Table2[[#This Row],[Review]])+0</f>
        <v>2</v>
      </c>
      <c r="F42" s="8" cm="1">
        <f t="array" ref="F42">OLLAMA("Create a rating from 0 to 10 for functionality from the following review (DO NOT add extra text. ONLY reply with a number): ", Table2[[#This Row],[Review]])+0</f>
        <v>8</v>
      </c>
      <c r="G42" s="8" cm="1">
        <f t="array" ref="G42">OLLAMA("Create a rating from 0 to 10 for stability from the following review (DO NOT add extra text. ONLY reply with a number): ", Table2[[#This Row],[Review]])+0</f>
        <v>9</v>
      </c>
      <c r="H42" s="8">
        <f>IF(Table2[[#This Row],[Speed]]&gt;=9, 100, IF(Table2[[#This Row],[Speed]]&lt;=6, -100, 0))</f>
        <v>-100</v>
      </c>
      <c r="I42" s="8">
        <f>IF(Table2[[#This Row],[Functionality]]&gt;=9, 100, IF(Table2[[#This Row],[Functionality]]&lt;=6, -100, 0))</f>
        <v>0</v>
      </c>
      <c r="J42" s="8">
        <f>IF(Table2[[#This Row],[Stability]]&gt;=9, 100, IF(Table2[[#This Row],[Stability]]&lt;=6, -100, 0))</f>
        <v>100</v>
      </c>
    </row>
    <row r="43" spans="1:10" ht="66" x14ac:dyDescent="0.25">
      <c r="A43" s="7" t="str">
        <f>TEXT(Table2[[#This Row],[Date]], "YYYY-MM")</f>
        <v>2026-10</v>
      </c>
      <c r="B43" s="7">
        <v>46313</v>
      </c>
      <c r="C43" s="6" t="s">
        <v>14</v>
      </c>
      <c r="D43" s="10" t="s">
        <v>70</v>
      </c>
      <c r="E43" s="8" cm="1">
        <f t="array" ref="E43">OLLAMA("Create a rating from 0 to 10 for speed from the following review (DO NOT add extra text. ONLY reply with a number): ", Table2[[#This Row],[Review]])+0</f>
        <v>9</v>
      </c>
      <c r="F43" s="8" cm="1">
        <f t="array" ref="F43">OLLAMA("Create a rating from 0 to 10 for functionality from the following review (DO NOT add extra text. ONLY reply with a number): ", Table2[[#This Row],[Review]])+0</f>
        <v>10</v>
      </c>
      <c r="G43" s="8" cm="1">
        <f t="array" ref="G43">OLLAMA("Create a rating from 0 to 10 for stability from the following review (DO NOT add extra text. ONLY reply with a number): ", Table2[[#This Row],[Review]])+0</f>
        <v>10</v>
      </c>
      <c r="H43" s="8">
        <f>IF(Table2[[#This Row],[Speed]]&gt;=9, 100, IF(Table2[[#This Row],[Speed]]&lt;=6, -100, 0))</f>
        <v>100</v>
      </c>
      <c r="I43" s="8">
        <f>IF(Table2[[#This Row],[Functionality]]&gt;=9, 100, IF(Table2[[#This Row],[Functionality]]&lt;=6, -100, 0))</f>
        <v>100</v>
      </c>
      <c r="J43" s="8">
        <f>IF(Table2[[#This Row],[Stability]]&gt;=9, 100, IF(Table2[[#This Row],[Stability]]&lt;=6, -100, 0))</f>
        <v>100</v>
      </c>
    </row>
    <row r="44" spans="1:10" ht="66" x14ac:dyDescent="0.25">
      <c r="A44" s="7" t="str">
        <f>TEXT(Table2[[#This Row],[Date]], "YYYY-MM")</f>
        <v>2026-10</v>
      </c>
      <c r="B44" s="7">
        <v>46320</v>
      </c>
      <c r="C44" s="6" t="s">
        <v>12</v>
      </c>
      <c r="D44" s="10" t="s">
        <v>71</v>
      </c>
      <c r="E44" s="8" cm="1">
        <f t="array" ref="E44">OLLAMA("Create a rating from 0 to 10 for speed from the following review (DO NOT add extra text. ONLY reply with a number): ", Table2[[#This Row],[Review]])+0</f>
        <v>9</v>
      </c>
      <c r="F44" s="8" cm="1">
        <f t="array" ref="F44">OLLAMA("Create a rating from 0 to 10 for functionality from the following review (DO NOT add extra text. ONLY reply with a number): ", Table2[[#This Row],[Review]])+0</f>
        <v>10</v>
      </c>
      <c r="G44" s="8" cm="1">
        <f t="array" ref="G44">OLLAMA("Create a rating from 0 to 10 for stability from the following review (DO NOT add extra text. ONLY reply with a number): ", Table2[[#This Row],[Review]])+0</f>
        <v>10</v>
      </c>
      <c r="H44" s="8">
        <f>IF(Table2[[#This Row],[Speed]]&gt;=9, 100, IF(Table2[[#This Row],[Speed]]&lt;=6, -100, 0))</f>
        <v>100</v>
      </c>
      <c r="I44" s="8">
        <f>IF(Table2[[#This Row],[Functionality]]&gt;=9, 100, IF(Table2[[#This Row],[Functionality]]&lt;=6, -100, 0))</f>
        <v>100</v>
      </c>
      <c r="J44" s="8">
        <f>IF(Table2[[#This Row],[Stability]]&gt;=9, 100, IF(Table2[[#This Row],[Stability]]&lt;=6, -100, 0))</f>
        <v>100</v>
      </c>
    </row>
    <row r="45" spans="1:10" ht="66" x14ac:dyDescent="0.25">
      <c r="A45" s="7" t="str">
        <f>TEXT(Table2[[#This Row],[Date]], "YYYY-MM")</f>
        <v>2026-11</v>
      </c>
      <c r="B45" s="7">
        <v>46327</v>
      </c>
      <c r="C45" s="6" t="s">
        <v>13</v>
      </c>
      <c r="D45" s="10" t="s">
        <v>132</v>
      </c>
      <c r="E45" s="8" cm="1">
        <f t="array" ref="E45">OLLAMA("Create a rating from 0 to 10 for speed from the following review (DO NOT add extra text. ONLY reply with a number): ", Table2[[#This Row],[Review]])+0</f>
        <v>6</v>
      </c>
      <c r="F45" s="8" cm="1">
        <f t="array" ref="F45">OLLAMA("Create a rating from 0 to 10 for functionality from the following review (DO NOT add extra text. ONLY reply with a number): ", Table2[[#This Row],[Review]])+0</f>
        <v>9</v>
      </c>
      <c r="G45" s="8" cm="1">
        <f t="array" ref="G45">OLLAMA("Create a rating from 0 to 10 for stability from the following review (DO NOT add extra text. ONLY reply with a number): ", Table2[[#This Row],[Review]])+0</f>
        <v>9</v>
      </c>
      <c r="H45" s="8">
        <f>IF(Table2[[#This Row],[Speed]]&gt;=9, 100, IF(Table2[[#This Row],[Speed]]&lt;=6, -100, 0))</f>
        <v>-100</v>
      </c>
      <c r="I45" s="8">
        <f>IF(Table2[[#This Row],[Functionality]]&gt;=9, 100, IF(Table2[[#This Row],[Functionality]]&lt;=6, -100, 0))</f>
        <v>100</v>
      </c>
      <c r="J45" s="8">
        <f>IF(Table2[[#This Row],[Stability]]&gt;=9, 100, IF(Table2[[#This Row],[Stability]]&lt;=6, -100, 0))</f>
        <v>100</v>
      </c>
    </row>
    <row r="46" spans="1:10" ht="66" x14ac:dyDescent="0.25">
      <c r="A46" s="7" t="str">
        <f>TEXT(Table2[[#This Row],[Date]], "YYYY-MM")</f>
        <v>2026-11</v>
      </c>
      <c r="B46" s="7">
        <v>46334</v>
      </c>
      <c r="C46" s="6" t="s">
        <v>14</v>
      </c>
      <c r="D46" s="10" t="s">
        <v>72</v>
      </c>
      <c r="E46" s="8" cm="1">
        <f t="array" ref="E46">OLLAMA("Create a rating from 0 to 10 for speed from the following review (DO NOT add extra text. ONLY reply with a number): ", Table2[[#This Row],[Review]])+0</f>
        <v>9</v>
      </c>
      <c r="F46" s="8" cm="1">
        <f t="array" ref="F46">OLLAMA("Create a rating from 0 to 10 for functionality from the following review (DO NOT add extra text. ONLY reply with a number): ", Table2[[#This Row],[Review]])+0</f>
        <v>10</v>
      </c>
      <c r="G46" s="8" cm="1">
        <f t="array" ref="G46">OLLAMA("Create a rating from 0 to 10 for stability from the following review (DO NOT add extra text. ONLY reply with a number): ", Table2[[#This Row],[Review]])+0</f>
        <v>10</v>
      </c>
      <c r="H46" s="8">
        <f>IF(Table2[[#This Row],[Speed]]&gt;=9, 100, IF(Table2[[#This Row],[Speed]]&lt;=6, -100, 0))</f>
        <v>100</v>
      </c>
      <c r="I46" s="8">
        <f>IF(Table2[[#This Row],[Functionality]]&gt;=9, 100, IF(Table2[[#This Row],[Functionality]]&lt;=6, -100, 0))</f>
        <v>100</v>
      </c>
      <c r="J46" s="8">
        <f>IF(Table2[[#This Row],[Stability]]&gt;=9, 100, IF(Table2[[#This Row],[Stability]]&lt;=6, -100, 0))</f>
        <v>100</v>
      </c>
    </row>
    <row r="47" spans="1:10" ht="66" x14ac:dyDescent="0.25">
      <c r="A47" s="7" t="str">
        <f>TEXT(Table2[[#This Row],[Date]], "YYYY-MM")</f>
        <v>2026-11</v>
      </c>
      <c r="B47" s="7">
        <v>46341</v>
      </c>
      <c r="C47" s="6" t="s">
        <v>12</v>
      </c>
      <c r="D47" s="10" t="s">
        <v>73</v>
      </c>
      <c r="E47" s="8" cm="1">
        <f t="array" ref="E47">OLLAMA("Create a rating from 0 to 10 for speed from the following review (DO NOT add extra text. ONLY reply with a number): ", Table2[[#This Row],[Review]])+0</f>
        <v>9</v>
      </c>
      <c r="F47" s="8" cm="1">
        <f t="array" ref="F47">OLLAMA("Create a rating from 0 to 10 for functionality from the following review (DO NOT add extra text. ONLY reply with a number): ", Table2[[#This Row],[Review]])+0</f>
        <v>10</v>
      </c>
      <c r="G47" s="8" cm="1">
        <f t="array" ref="G47">OLLAMA("Create a rating from 0 to 10 for stability from the following review (DO NOT add extra text. ONLY reply with a number): ", Table2[[#This Row],[Review]])+0</f>
        <v>10</v>
      </c>
      <c r="H47" s="8">
        <f>IF(Table2[[#This Row],[Speed]]&gt;=9, 100, IF(Table2[[#This Row],[Speed]]&lt;=6, -100, 0))</f>
        <v>100</v>
      </c>
      <c r="I47" s="8">
        <f>IF(Table2[[#This Row],[Functionality]]&gt;=9, 100, IF(Table2[[#This Row],[Functionality]]&lt;=6, -100, 0))</f>
        <v>100</v>
      </c>
      <c r="J47" s="8">
        <f>IF(Table2[[#This Row],[Stability]]&gt;=9, 100, IF(Table2[[#This Row],[Stability]]&lt;=6, -100, 0))</f>
        <v>100</v>
      </c>
    </row>
    <row r="48" spans="1:10" ht="66" x14ac:dyDescent="0.25">
      <c r="A48" s="7" t="str">
        <f>TEXT(Table2[[#This Row],[Date]], "YYYY-MM")</f>
        <v>2026-11</v>
      </c>
      <c r="B48" s="7">
        <v>46348</v>
      </c>
      <c r="C48" s="6" t="s">
        <v>13</v>
      </c>
      <c r="D48" s="10" t="s">
        <v>131</v>
      </c>
      <c r="E48" s="8" cm="1">
        <f t="array" ref="E48">OLLAMA("Create a rating from 0 to 10 for speed from the following review (DO NOT add extra text. ONLY reply with a number): ", Table2[[#This Row],[Review]])+0</f>
        <v>6</v>
      </c>
      <c r="F48" s="8" cm="1">
        <f t="array" ref="F48">OLLAMA("Create a rating from 0 to 10 for functionality from the following review (DO NOT add extra text. ONLY reply with a number): ", Table2[[#This Row],[Review]])+0</f>
        <v>8</v>
      </c>
      <c r="G48" s="8" cm="1">
        <f t="array" ref="G48">OLLAMA("Create a rating from 0 to 10 for stability from the following review (DO NOT add extra text. ONLY reply with a number): ", Table2[[#This Row],[Review]])+0</f>
        <v>9</v>
      </c>
      <c r="H48" s="8">
        <f>IF(Table2[[#This Row],[Speed]]&gt;=9, 100, IF(Table2[[#This Row],[Speed]]&lt;=6, -100, 0))</f>
        <v>-100</v>
      </c>
      <c r="I48" s="8">
        <f>IF(Table2[[#This Row],[Functionality]]&gt;=9, 100, IF(Table2[[#This Row],[Functionality]]&lt;=6, -100, 0))</f>
        <v>0</v>
      </c>
      <c r="J48" s="8">
        <f>IF(Table2[[#This Row],[Stability]]&gt;=9, 100, IF(Table2[[#This Row],[Stability]]&lt;=6, -100, 0))</f>
        <v>100</v>
      </c>
    </row>
    <row r="49" spans="1:10" ht="66" x14ac:dyDescent="0.25">
      <c r="A49" s="7" t="str">
        <f>TEXT(Table2[[#This Row],[Date]], "YYYY-MM")</f>
        <v>2026-11</v>
      </c>
      <c r="B49" s="7">
        <v>46355</v>
      </c>
      <c r="C49" s="6" t="s">
        <v>14</v>
      </c>
      <c r="D49" s="10" t="s">
        <v>74</v>
      </c>
      <c r="E49" s="8" cm="1">
        <f t="array" ref="E49">OLLAMA("Create a rating from 0 to 10 for speed from the following review (DO NOT add extra text. ONLY reply with a number): ", Table2[[#This Row],[Review]])+0</f>
        <v>9</v>
      </c>
      <c r="F49" s="8" cm="1">
        <f t="array" ref="F49">OLLAMA("Create a rating from 0 to 10 for functionality from the following review (DO NOT add extra text. ONLY reply with a number): ", Table2[[#This Row],[Review]])+0</f>
        <v>10</v>
      </c>
      <c r="G49" s="8" cm="1">
        <f t="array" ref="G49">OLLAMA("Create a rating from 0 to 10 for stability from the following review (DO NOT add extra text. ONLY reply with a number): ", Table2[[#This Row],[Review]])+0</f>
        <v>10</v>
      </c>
      <c r="H49" s="8">
        <f>IF(Table2[[#This Row],[Speed]]&gt;=9, 100, IF(Table2[[#This Row],[Speed]]&lt;=6, -100, 0))</f>
        <v>100</v>
      </c>
      <c r="I49" s="8">
        <f>IF(Table2[[#This Row],[Functionality]]&gt;=9, 100, IF(Table2[[#This Row],[Functionality]]&lt;=6, -100, 0))</f>
        <v>100</v>
      </c>
      <c r="J49" s="8">
        <f>IF(Table2[[#This Row],[Stability]]&gt;=9, 100, IF(Table2[[#This Row],[Stability]]&lt;=6, -100, 0))</f>
        <v>100</v>
      </c>
    </row>
    <row r="50" spans="1:10" ht="66" x14ac:dyDescent="0.25">
      <c r="A50" s="7" t="str">
        <f>TEXT(Table2[[#This Row],[Date]], "YYYY-MM")</f>
        <v>2026-12</v>
      </c>
      <c r="B50" s="7">
        <v>46362</v>
      </c>
      <c r="C50" s="6" t="s">
        <v>12</v>
      </c>
      <c r="D50" s="10" t="s">
        <v>75</v>
      </c>
      <c r="E50" s="8" cm="1">
        <f t="array" ref="E50">OLLAMA("Create a rating from 0 to 10 for speed from the following review (DO NOT add extra text. ONLY reply with a number): ", Table2[[#This Row],[Review]])+0</f>
        <v>9</v>
      </c>
      <c r="F50" s="8" cm="1">
        <f t="array" ref="F50">OLLAMA("Create a rating from 0 to 10 for functionality from the following review (DO NOT add extra text. ONLY reply with a number): ", Table2[[#This Row],[Review]])+0</f>
        <v>10</v>
      </c>
      <c r="G50" s="8" cm="1">
        <f t="array" ref="G50">OLLAMA("Create a rating from 0 to 10 for stability from the following review (DO NOT add extra text. ONLY reply with a number): ", Table2[[#This Row],[Review]])+0</f>
        <v>9</v>
      </c>
      <c r="H50" s="8">
        <f>IF(Table2[[#This Row],[Speed]]&gt;=9, 100, IF(Table2[[#This Row],[Speed]]&lt;=6, -100, 0))</f>
        <v>100</v>
      </c>
      <c r="I50" s="8">
        <f>IF(Table2[[#This Row],[Functionality]]&gt;=9, 100, IF(Table2[[#This Row],[Functionality]]&lt;=6, -100, 0))</f>
        <v>100</v>
      </c>
      <c r="J50" s="8">
        <f>IF(Table2[[#This Row],[Stability]]&gt;=9, 100, IF(Table2[[#This Row],[Stability]]&lt;=6, -100, 0))</f>
        <v>100</v>
      </c>
    </row>
    <row r="51" spans="1:10" ht="66" x14ac:dyDescent="0.25">
      <c r="A51" s="7" t="str">
        <f>TEXT(Table2[[#This Row],[Date]], "YYYY-MM")</f>
        <v>2026-12</v>
      </c>
      <c r="B51" s="7">
        <v>46369</v>
      </c>
      <c r="C51" s="6" t="s">
        <v>13</v>
      </c>
      <c r="D51" s="10" t="s">
        <v>76</v>
      </c>
      <c r="E51" s="8" cm="1">
        <f t="array" ref="E51">OLLAMA("Create a rating from 0 to 10 for speed from the following review (DO NOT add extra text. ONLY reply with a number): ", Table2[[#This Row],[Review]])+0</f>
        <v>9</v>
      </c>
      <c r="F51" s="8" cm="1">
        <f t="array" ref="F51">OLLAMA("Create a rating from 0 to 10 for functionality from the following review (DO NOT add extra text. ONLY reply with a number): ", Table2[[#This Row],[Review]])+0</f>
        <v>9</v>
      </c>
      <c r="G51" s="8" cm="1">
        <f t="array" ref="G51">OLLAMA("Create a rating from 0 to 10 for stability from the following review (DO NOT add extra text. ONLY reply with a number): ", Table2[[#This Row],[Review]])+0</f>
        <v>10</v>
      </c>
      <c r="H51" s="8">
        <f>IF(Table2[[#This Row],[Speed]]&gt;=9, 100, IF(Table2[[#This Row],[Speed]]&lt;=6, -100, 0))</f>
        <v>100</v>
      </c>
      <c r="I51" s="8">
        <f>IF(Table2[[#This Row],[Functionality]]&gt;=9, 100, IF(Table2[[#This Row],[Functionality]]&lt;=6, -100, 0))</f>
        <v>100</v>
      </c>
      <c r="J51" s="8">
        <f>IF(Table2[[#This Row],[Stability]]&gt;=9, 100, IF(Table2[[#This Row],[Stability]]&lt;=6, -100, 0))</f>
        <v>100</v>
      </c>
    </row>
    <row r="52" spans="1:10" ht="66" x14ac:dyDescent="0.25">
      <c r="A52" s="7" t="str">
        <f>TEXT(Table2[[#This Row],[Date]], "YYYY-MM")</f>
        <v>2026-01</v>
      </c>
      <c r="B52" s="7">
        <v>46032</v>
      </c>
      <c r="C52" s="6" t="s">
        <v>12</v>
      </c>
      <c r="D52" s="10" t="s">
        <v>77</v>
      </c>
      <c r="E52" s="8" cm="1">
        <f t="array" ref="E52">OLLAMA("Create a rating from 0 to 10 for speed from the following review (DO NOT add extra text. ONLY reply with a number): ", Table2[[#This Row],[Review]])+0</f>
        <v>2</v>
      </c>
      <c r="F52" s="8" cm="1">
        <f t="array" ref="F52">OLLAMA("Create a rating from 0 to 10 for functionality from the following review (DO NOT add extra text. ONLY reply with a number): ", Table2[[#This Row],[Review]])+0</f>
        <v>2</v>
      </c>
      <c r="G52" s="8" cm="1">
        <f t="array" ref="G52">OLLAMA("Create a rating from 0 to 10 for stability from the following review (DO NOT add extra text. ONLY reply with a number): ", Table2[[#This Row],[Review]])+0</f>
        <v>0</v>
      </c>
      <c r="H52" s="8">
        <f>IF(Table2[[#This Row],[Speed]]&gt;=9, 100, IF(Table2[[#This Row],[Speed]]&lt;=6, -100, 0))</f>
        <v>-100</v>
      </c>
      <c r="I52" s="8">
        <f>IF(Table2[[#This Row],[Functionality]]&gt;=9, 100, IF(Table2[[#This Row],[Functionality]]&lt;=6, -100, 0))</f>
        <v>-100</v>
      </c>
      <c r="J52" s="8">
        <f>IF(Table2[[#This Row],[Stability]]&gt;=9, 100, IF(Table2[[#This Row],[Stability]]&lt;=6, -100, 0))</f>
        <v>-100</v>
      </c>
    </row>
    <row r="53" spans="1:10" ht="66" x14ac:dyDescent="0.25">
      <c r="A53" s="7" t="str">
        <f>TEXT(Table2[[#This Row],[Date]], "YYYY-MM")</f>
        <v>2026-01</v>
      </c>
      <c r="B53" s="7">
        <v>46039</v>
      </c>
      <c r="C53" s="6" t="s">
        <v>14</v>
      </c>
      <c r="D53" s="10" t="s">
        <v>78</v>
      </c>
      <c r="E53" s="8" cm="1">
        <f t="array" ref="E53">OLLAMA("Create a rating from 0 to 10 for speed from the following review (DO NOT add extra text. ONLY reply with a number): ", Table2[[#This Row],[Review]])+0</f>
        <v>2</v>
      </c>
      <c r="F53" s="8" cm="1">
        <f t="array" ref="F53">OLLAMA("Create a rating from 0 to 10 for functionality from the following review (DO NOT add extra text. ONLY reply with a number): ", Table2[[#This Row],[Review]])+0</f>
        <v>1</v>
      </c>
      <c r="G53" s="8" cm="1">
        <f t="array" ref="G53">OLLAMA("Create a rating from 0 to 10 for stability from the following review (DO NOT add extra text. ONLY reply with a number): ", Table2[[#This Row],[Review]])+0</f>
        <v>1</v>
      </c>
      <c r="H53" s="8">
        <f>IF(Table2[[#This Row],[Speed]]&gt;=9, 100, IF(Table2[[#This Row],[Speed]]&lt;=6, -100, 0))</f>
        <v>-100</v>
      </c>
      <c r="I53" s="8">
        <f>IF(Table2[[#This Row],[Functionality]]&gt;=9, 100, IF(Table2[[#This Row],[Functionality]]&lt;=6, -100, 0))</f>
        <v>-100</v>
      </c>
      <c r="J53" s="8">
        <f>IF(Table2[[#This Row],[Stability]]&gt;=9, 100, IF(Table2[[#This Row],[Stability]]&lt;=6, -100, 0))</f>
        <v>-100</v>
      </c>
    </row>
    <row r="54" spans="1:10" ht="66" x14ac:dyDescent="0.25">
      <c r="A54" s="7" t="str">
        <f>TEXT(Table2[[#This Row],[Date]], "YYYY-MM")</f>
        <v>2026-01</v>
      </c>
      <c r="B54" s="7">
        <v>46046</v>
      </c>
      <c r="C54" s="6" t="s">
        <v>13</v>
      </c>
      <c r="D54" s="10" t="s">
        <v>79</v>
      </c>
      <c r="E54" s="8" cm="1">
        <f t="array" ref="E54">OLLAMA("Create a rating from 0 to 10 for speed from the following review (DO NOT add extra text. ONLY reply with a number): ", Table2[[#This Row],[Review]])+0</f>
        <v>1</v>
      </c>
      <c r="F54" s="8" cm="1">
        <f t="array" ref="F54">OLLAMA("Create a rating from 0 to 10 for functionality from the following review (DO NOT add extra text. ONLY reply with a number): ", Table2[[#This Row],[Review]])+0</f>
        <v>1</v>
      </c>
      <c r="G54" s="8" cm="1">
        <f t="array" ref="G54">OLLAMA("Create a rating from 0 to 10 for stability from the following review (DO NOT add extra text. ONLY reply with a number): ", Table2[[#This Row],[Review]])+0</f>
        <v>1</v>
      </c>
      <c r="H54" s="8">
        <f>IF(Table2[[#This Row],[Speed]]&gt;=9, 100, IF(Table2[[#This Row],[Speed]]&lt;=6, -100, 0))</f>
        <v>-100</v>
      </c>
      <c r="I54" s="8">
        <f>IF(Table2[[#This Row],[Functionality]]&gt;=9, 100, IF(Table2[[#This Row],[Functionality]]&lt;=6, -100, 0))</f>
        <v>-100</v>
      </c>
      <c r="J54" s="8">
        <f>IF(Table2[[#This Row],[Stability]]&gt;=9, 100, IF(Table2[[#This Row],[Stability]]&lt;=6, -100, 0))</f>
        <v>-100</v>
      </c>
    </row>
    <row r="55" spans="1:10" ht="66" x14ac:dyDescent="0.25">
      <c r="A55" s="7" t="str">
        <f>TEXT(Table2[[#This Row],[Date]], "YYYY-MM")</f>
        <v>2026-01</v>
      </c>
      <c r="B55" s="7">
        <v>46053</v>
      </c>
      <c r="C55" s="6" t="s">
        <v>12</v>
      </c>
      <c r="D55" s="10" t="s">
        <v>80</v>
      </c>
      <c r="E55" s="8" cm="1">
        <f t="array" ref="E55">OLLAMA("Create a rating from 0 to 10 for speed from the following review (DO NOT add extra text. ONLY reply with a number): ", Table2[[#This Row],[Review]])+0</f>
        <v>1</v>
      </c>
      <c r="F55" s="8" cm="1">
        <f t="array" ref="F55">OLLAMA("Create a rating from 0 to 10 for functionality from the following review (DO NOT add extra text. ONLY reply with a number): ", Table2[[#This Row],[Review]])+0</f>
        <v>2</v>
      </c>
      <c r="G55" s="8" cm="1">
        <f t="array" ref="G55">OLLAMA("Create a rating from 0 to 10 for stability from the following review (DO NOT add extra text. ONLY reply with a number): ", Table2[[#This Row],[Review]])+0</f>
        <v>2</v>
      </c>
      <c r="H55" s="8">
        <f>IF(Table2[[#This Row],[Speed]]&gt;=9, 100, IF(Table2[[#This Row],[Speed]]&lt;=6, -100, 0))</f>
        <v>-100</v>
      </c>
      <c r="I55" s="8">
        <f>IF(Table2[[#This Row],[Functionality]]&gt;=9, 100, IF(Table2[[#This Row],[Functionality]]&lt;=6, -100, 0))</f>
        <v>-100</v>
      </c>
      <c r="J55" s="8">
        <f>IF(Table2[[#This Row],[Stability]]&gt;=9, 100, IF(Table2[[#This Row],[Stability]]&lt;=6, -100, 0))</f>
        <v>-100</v>
      </c>
    </row>
    <row r="56" spans="1:10" ht="66" x14ac:dyDescent="0.25">
      <c r="A56" s="7" t="str">
        <f>TEXT(Table2[[#This Row],[Date]], "YYYY-MM")</f>
        <v>2026-02</v>
      </c>
      <c r="B56" s="7">
        <v>46060</v>
      </c>
      <c r="C56" s="6" t="s">
        <v>14</v>
      </c>
      <c r="D56" s="10" t="s">
        <v>81</v>
      </c>
      <c r="E56" s="8" cm="1">
        <f t="array" ref="E56">OLLAMA("Create a rating from 0 to 10 for speed from the following review (DO NOT add extra text. ONLY reply with a number): ", Table2[[#This Row],[Review]])+0</f>
        <v>1</v>
      </c>
      <c r="F56" s="8" cm="1">
        <f t="array" ref="F56">OLLAMA("Create a rating from 0 to 10 for functionality from the following review (DO NOT add extra text. ONLY reply with a number): ", Table2[[#This Row],[Review]])+0</f>
        <v>2</v>
      </c>
      <c r="G56" s="8" cm="1">
        <f t="array" ref="G56">OLLAMA("Create a rating from 0 to 10 for stability from the following review (DO NOT add extra text. ONLY reply with a number): ", Table2[[#This Row],[Review]])+0</f>
        <v>0</v>
      </c>
      <c r="H56" s="8">
        <f>IF(Table2[[#This Row],[Speed]]&gt;=9, 100, IF(Table2[[#This Row],[Speed]]&lt;=6, -100, 0))</f>
        <v>-100</v>
      </c>
      <c r="I56" s="8">
        <f>IF(Table2[[#This Row],[Functionality]]&gt;=9, 100, IF(Table2[[#This Row],[Functionality]]&lt;=6, -100, 0))</f>
        <v>-100</v>
      </c>
      <c r="J56" s="8">
        <f>IF(Table2[[#This Row],[Stability]]&gt;=9, 100, IF(Table2[[#This Row],[Stability]]&lt;=6, -100, 0))</f>
        <v>-100</v>
      </c>
    </row>
    <row r="57" spans="1:10" ht="66" x14ac:dyDescent="0.25">
      <c r="A57" s="7" t="str">
        <f>TEXT(Table2[[#This Row],[Date]], "YYYY-MM")</f>
        <v>2026-02</v>
      </c>
      <c r="B57" s="7">
        <v>46067</v>
      </c>
      <c r="C57" s="6" t="s">
        <v>13</v>
      </c>
      <c r="D57" s="10" t="s">
        <v>82</v>
      </c>
      <c r="E57" s="8" cm="1">
        <f t="array" ref="E57">OLLAMA("Create a rating from 0 to 10 for speed from the following review (DO NOT add extra text. ONLY reply with a number): ", Table2[[#This Row],[Review]])+0</f>
        <v>2</v>
      </c>
      <c r="F57" s="8" cm="1">
        <f t="array" ref="F57">OLLAMA("Create a rating from 0 to 10 for functionality from the following review (DO NOT add extra text. ONLY reply with a number): ", Table2[[#This Row],[Review]])+0</f>
        <v>2</v>
      </c>
      <c r="G57" s="8" cm="1">
        <f t="array" ref="G57">OLLAMA("Create a rating from 0 to 10 for stability from the following review (DO NOT add extra text. ONLY reply with a number): ", Table2[[#This Row],[Review]])+0</f>
        <v>1</v>
      </c>
      <c r="H57" s="8">
        <f>IF(Table2[[#This Row],[Speed]]&gt;=9, 100, IF(Table2[[#This Row],[Speed]]&lt;=6, -100, 0))</f>
        <v>-100</v>
      </c>
      <c r="I57" s="8">
        <f>IF(Table2[[#This Row],[Functionality]]&gt;=9, 100, IF(Table2[[#This Row],[Functionality]]&lt;=6, -100, 0))</f>
        <v>-100</v>
      </c>
      <c r="J57" s="8">
        <f>IF(Table2[[#This Row],[Stability]]&gt;=9, 100, IF(Table2[[#This Row],[Stability]]&lt;=6, -100, 0))</f>
        <v>-100</v>
      </c>
    </row>
    <row r="58" spans="1:10" ht="66" x14ac:dyDescent="0.25">
      <c r="A58" s="7" t="str">
        <f>TEXT(Table2[[#This Row],[Date]], "YYYY-MM")</f>
        <v>2026-02</v>
      </c>
      <c r="B58" s="7">
        <v>46074</v>
      </c>
      <c r="C58" s="6" t="s">
        <v>12</v>
      </c>
      <c r="D58" s="10" t="s">
        <v>83</v>
      </c>
      <c r="E58" s="8" cm="1">
        <f t="array" ref="E58">OLLAMA("Create a rating from 0 to 10 for speed from the following review (DO NOT add extra text. ONLY reply with a number): ", Table2[[#This Row],[Review]])+0</f>
        <v>4</v>
      </c>
      <c r="F58" s="8" cm="1">
        <f t="array" ref="F58">OLLAMA("Create a rating from 0 to 10 for functionality from the following review (DO NOT add extra text. ONLY reply with a number): ", Table2[[#This Row],[Review]])+0</f>
        <v>3</v>
      </c>
      <c r="G58" s="8" cm="1">
        <f t="array" ref="G58">OLLAMA("Create a rating from 0 to 10 for stability from the following review (DO NOT add extra text. ONLY reply with a number): ", Table2[[#This Row],[Review]])+0</f>
        <v>2</v>
      </c>
      <c r="H58" s="8">
        <f>IF(Table2[[#This Row],[Speed]]&gt;=9, 100, IF(Table2[[#This Row],[Speed]]&lt;=6, -100, 0))</f>
        <v>-100</v>
      </c>
      <c r="I58" s="8">
        <f>IF(Table2[[#This Row],[Functionality]]&gt;=9, 100, IF(Table2[[#This Row],[Functionality]]&lt;=6, -100, 0))</f>
        <v>-100</v>
      </c>
      <c r="J58" s="8">
        <f>IF(Table2[[#This Row],[Stability]]&gt;=9, 100, IF(Table2[[#This Row],[Stability]]&lt;=6, -100, 0))</f>
        <v>-100</v>
      </c>
    </row>
    <row r="59" spans="1:10" ht="66" x14ac:dyDescent="0.25">
      <c r="A59" s="7" t="str">
        <f>TEXT(Table2[[#This Row],[Date]], "YYYY-MM")</f>
        <v>2026-02</v>
      </c>
      <c r="B59" s="7">
        <v>46081</v>
      </c>
      <c r="C59" s="6" t="s">
        <v>14</v>
      </c>
      <c r="D59" s="10" t="s">
        <v>84</v>
      </c>
      <c r="E59" s="8" cm="1">
        <f t="array" ref="E59">OLLAMA("Create a rating from 0 to 10 for speed from the following review (DO NOT add extra text. ONLY reply with a number): ", Table2[[#This Row],[Review]])+0</f>
        <v>4</v>
      </c>
      <c r="F59" s="8" cm="1">
        <f t="array" ref="F59">OLLAMA("Create a rating from 0 to 10 for functionality from the following review (DO NOT add extra text. ONLY reply with a number): ", Table2[[#This Row],[Review]])+0</f>
        <v>6</v>
      </c>
      <c r="G59" s="8" cm="1">
        <f t="array" ref="G59">OLLAMA("Create a rating from 0 to 10 for stability from the following review (DO NOT add extra text. ONLY reply with a number): ", Table2[[#This Row],[Review]])+0</f>
        <v>6</v>
      </c>
      <c r="H59" s="8">
        <f>IF(Table2[[#This Row],[Speed]]&gt;=9, 100, IF(Table2[[#This Row],[Speed]]&lt;=6, -100, 0))</f>
        <v>-100</v>
      </c>
      <c r="I59" s="8">
        <f>IF(Table2[[#This Row],[Functionality]]&gt;=9, 100, IF(Table2[[#This Row],[Functionality]]&lt;=6, -100, 0))</f>
        <v>-100</v>
      </c>
      <c r="J59" s="8">
        <f>IF(Table2[[#This Row],[Stability]]&gt;=9, 100, IF(Table2[[#This Row],[Stability]]&lt;=6, -100, 0))</f>
        <v>-100</v>
      </c>
    </row>
    <row r="60" spans="1:10" ht="66" x14ac:dyDescent="0.25">
      <c r="A60" s="7" t="str">
        <f>TEXT(Table2[[#This Row],[Date]], "YYYY-MM")</f>
        <v>2026-03</v>
      </c>
      <c r="B60" s="7">
        <v>46088</v>
      </c>
      <c r="C60" s="6" t="s">
        <v>13</v>
      </c>
      <c r="D60" s="10" t="s">
        <v>85</v>
      </c>
      <c r="E60" s="8" cm="1">
        <f t="array" ref="E60">OLLAMA("Create a rating from 0 to 10 for speed from the following review (DO NOT add extra text. ONLY reply with a number): ", Table2[[#This Row],[Review]])+0</f>
        <v>1</v>
      </c>
      <c r="F60" s="8" cm="1">
        <f t="array" ref="F60">OLLAMA("Create a rating from 0 to 10 for functionality from the following review (DO NOT add extra text. ONLY reply with a number): ", Table2[[#This Row],[Review]])+0</f>
        <v>2</v>
      </c>
      <c r="G60" s="8" cm="1">
        <f t="array" ref="G60">OLLAMA("Create a rating from 0 to 10 for stability from the following review (DO NOT add extra text. ONLY reply with a number): ", Table2[[#This Row],[Review]])+0</f>
        <v>2</v>
      </c>
      <c r="H60" s="8">
        <f>IF(Table2[[#This Row],[Speed]]&gt;=9, 100, IF(Table2[[#This Row],[Speed]]&lt;=6, -100, 0))</f>
        <v>-100</v>
      </c>
      <c r="I60" s="8">
        <f>IF(Table2[[#This Row],[Functionality]]&gt;=9, 100, IF(Table2[[#This Row],[Functionality]]&lt;=6, -100, 0))</f>
        <v>-100</v>
      </c>
      <c r="J60" s="8">
        <f>IF(Table2[[#This Row],[Stability]]&gt;=9, 100, IF(Table2[[#This Row],[Stability]]&lt;=6, -100, 0))</f>
        <v>-100</v>
      </c>
    </row>
    <row r="61" spans="1:10" ht="66" x14ac:dyDescent="0.25">
      <c r="A61" s="7" t="str">
        <f>TEXT(Table2[[#This Row],[Date]], "YYYY-MM")</f>
        <v>2026-03</v>
      </c>
      <c r="B61" s="7">
        <v>46095</v>
      </c>
      <c r="C61" s="6" t="s">
        <v>12</v>
      </c>
      <c r="D61" s="10" t="s">
        <v>86</v>
      </c>
      <c r="E61" s="8" cm="1">
        <f t="array" ref="E61">OLLAMA("Create a rating from 0 to 10 for speed from the following review (DO NOT add extra text. ONLY reply with a number): ", Table2[[#This Row],[Review]])+0</f>
        <v>5</v>
      </c>
      <c r="F61" s="8" cm="1">
        <f t="array" ref="F61">OLLAMA("Create a rating from 0 to 10 for functionality from the following review (DO NOT add extra text. ONLY reply with a number): ", Table2[[#This Row],[Review]])+0</f>
        <v>6</v>
      </c>
      <c r="G61" s="8" cm="1">
        <f t="array" ref="G61">OLLAMA("Create a rating from 0 to 10 for stability from the following review (DO NOT add extra text. ONLY reply with a number): ", Table2[[#This Row],[Review]])+0</f>
        <v>6</v>
      </c>
      <c r="H61" s="8">
        <f>IF(Table2[[#This Row],[Speed]]&gt;=9, 100, IF(Table2[[#This Row],[Speed]]&lt;=6, -100, 0))</f>
        <v>-100</v>
      </c>
      <c r="I61" s="8">
        <f>IF(Table2[[#This Row],[Functionality]]&gt;=9, 100, IF(Table2[[#This Row],[Functionality]]&lt;=6, -100, 0))</f>
        <v>-100</v>
      </c>
      <c r="J61" s="8">
        <f>IF(Table2[[#This Row],[Stability]]&gt;=9, 100, IF(Table2[[#This Row],[Stability]]&lt;=6, -100, 0))</f>
        <v>-100</v>
      </c>
    </row>
    <row r="62" spans="1:10" ht="66" x14ac:dyDescent="0.25">
      <c r="A62" s="7" t="str">
        <f>TEXT(Table2[[#This Row],[Date]], "YYYY-MM")</f>
        <v>2026-03</v>
      </c>
      <c r="B62" s="7">
        <v>46102</v>
      </c>
      <c r="C62" s="6" t="s">
        <v>14</v>
      </c>
      <c r="D62" s="10" t="s">
        <v>87</v>
      </c>
      <c r="E62" s="8" cm="1">
        <f t="array" ref="E62">OLLAMA("Create a rating from 0 to 10 for speed from the following review (DO NOT add extra text. ONLY reply with a number): ", Table2[[#This Row],[Review]])+0</f>
        <v>7</v>
      </c>
      <c r="F62" s="8" cm="1">
        <f t="array" ref="F62">OLLAMA("Create a rating from 0 to 10 for functionality from the following review (DO NOT add extra text. ONLY reply with a number): ", Table2[[#This Row],[Review]])+0</f>
        <v>6</v>
      </c>
      <c r="G62" s="8" cm="1">
        <f t="array" ref="G62">OLLAMA("Create a rating from 0 to 10 for stability from the following review (DO NOT add extra text. ONLY reply with a number): ", Table2[[#This Row],[Review]])+0</f>
        <v>6</v>
      </c>
      <c r="H62" s="8">
        <f>IF(Table2[[#This Row],[Speed]]&gt;=9, 100, IF(Table2[[#This Row],[Speed]]&lt;=6, -100, 0))</f>
        <v>0</v>
      </c>
      <c r="I62" s="8">
        <f>IF(Table2[[#This Row],[Functionality]]&gt;=9, 100, IF(Table2[[#This Row],[Functionality]]&lt;=6, -100, 0))</f>
        <v>-100</v>
      </c>
      <c r="J62" s="8">
        <f>IF(Table2[[#This Row],[Stability]]&gt;=9, 100, IF(Table2[[#This Row],[Stability]]&lt;=6, -100, 0))</f>
        <v>-100</v>
      </c>
    </row>
    <row r="63" spans="1:10" ht="66" x14ac:dyDescent="0.25">
      <c r="A63" s="7" t="str">
        <f>TEXT(Table2[[#This Row],[Date]], "YYYY-MM")</f>
        <v>2026-03</v>
      </c>
      <c r="B63" s="7">
        <v>46109</v>
      </c>
      <c r="C63" s="6" t="s">
        <v>13</v>
      </c>
      <c r="D63" s="10" t="s">
        <v>88</v>
      </c>
      <c r="E63" s="8" cm="1">
        <f t="array" ref="E63">OLLAMA("Create a rating from 0 to 10 for speed from the following review (DO NOT add extra text. ONLY reply with a number): ", Table2[[#This Row],[Review]])+0</f>
        <v>2</v>
      </c>
      <c r="F63" s="8" cm="1">
        <f t="array" ref="F63">OLLAMA("Create a rating from 0 to 10 for functionality from the following review (DO NOT add extra text. ONLY reply with a number): ", Table2[[#This Row],[Review]])+0</f>
        <v>2</v>
      </c>
      <c r="G63" s="8" cm="1">
        <f t="array" ref="G63">OLLAMA("Create a rating from 0 to 10 for stability from the following review (DO NOT add extra text. ONLY reply with a number): ", Table2[[#This Row],[Review]])+0</f>
        <v>2</v>
      </c>
      <c r="H63" s="8">
        <f>IF(Table2[[#This Row],[Speed]]&gt;=9, 100, IF(Table2[[#This Row],[Speed]]&lt;=6, -100, 0))</f>
        <v>-100</v>
      </c>
      <c r="I63" s="8">
        <f>IF(Table2[[#This Row],[Functionality]]&gt;=9, 100, IF(Table2[[#This Row],[Functionality]]&lt;=6, -100, 0))</f>
        <v>-100</v>
      </c>
      <c r="J63" s="8">
        <f>IF(Table2[[#This Row],[Stability]]&gt;=9, 100, IF(Table2[[#This Row],[Stability]]&lt;=6, -100, 0))</f>
        <v>-100</v>
      </c>
    </row>
    <row r="64" spans="1:10" ht="66" x14ac:dyDescent="0.25">
      <c r="A64" s="7" t="str">
        <f>TEXT(Table2[[#This Row],[Date]], "YYYY-MM")</f>
        <v>2026-04</v>
      </c>
      <c r="B64" s="7">
        <v>46116</v>
      </c>
      <c r="C64" s="6" t="s">
        <v>12</v>
      </c>
      <c r="D64" s="10" t="s">
        <v>89</v>
      </c>
      <c r="E64" s="8" cm="1">
        <f t="array" ref="E64">OLLAMA("Create a rating from 0 to 10 for speed from the following review (DO NOT add extra text. ONLY reply with a number): ", Table2[[#This Row],[Review]])+0</f>
        <v>7</v>
      </c>
      <c r="F64" s="8" cm="1">
        <f t="array" ref="F64">OLLAMA("Create a rating from 0 to 10 for functionality from the following review (DO NOT add extra text. ONLY reply with a number): ", Table2[[#This Row],[Review]])+0</f>
        <v>8</v>
      </c>
      <c r="G64" s="8" cm="1">
        <f t="array" ref="G64">OLLAMA("Create a rating from 0 to 10 for stability from the following review (DO NOT add extra text. ONLY reply with a number): ", Table2[[#This Row],[Review]])+0</f>
        <v>8</v>
      </c>
      <c r="H64" s="8">
        <f>IF(Table2[[#This Row],[Speed]]&gt;=9, 100, IF(Table2[[#This Row],[Speed]]&lt;=6, -100, 0))</f>
        <v>0</v>
      </c>
      <c r="I64" s="8">
        <f>IF(Table2[[#This Row],[Functionality]]&gt;=9, 100, IF(Table2[[#This Row],[Functionality]]&lt;=6, -100, 0))</f>
        <v>0</v>
      </c>
      <c r="J64" s="8">
        <f>IF(Table2[[#This Row],[Stability]]&gt;=9, 100, IF(Table2[[#This Row],[Stability]]&lt;=6, -100, 0))</f>
        <v>0</v>
      </c>
    </row>
    <row r="65" spans="1:10" ht="66" x14ac:dyDescent="0.25">
      <c r="A65" s="7" t="str">
        <f>TEXT(Table2[[#This Row],[Date]], "YYYY-MM")</f>
        <v>2026-04</v>
      </c>
      <c r="B65" s="7">
        <v>46123</v>
      </c>
      <c r="C65" s="6" t="s">
        <v>14</v>
      </c>
      <c r="D65" s="10" t="s">
        <v>90</v>
      </c>
      <c r="E65" s="8" cm="1">
        <f t="array" ref="E65">OLLAMA("Create a rating from 0 to 10 for speed from the following review (DO NOT add extra text. ONLY reply with a number): ", Table2[[#This Row],[Review]])+0</f>
        <v>9</v>
      </c>
      <c r="F65" s="8" cm="1">
        <f t="array" ref="F65">OLLAMA("Create a rating from 0 to 10 for functionality from the following review (DO NOT add extra text. ONLY reply with a number): ", Table2[[#This Row],[Review]])+0</f>
        <v>8</v>
      </c>
      <c r="G65" s="8" cm="1">
        <f t="array" ref="G65">OLLAMA("Create a rating from 0 to 10 for stability from the following review (DO NOT add extra text. ONLY reply with a number): ", Table2[[#This Row],[Review]])+0</f>
        <v>9</v>
      </c>
      <c r="H65" s="8">
        <f>IF(Table2[[#This Row],[Speed]]&gt;=9, 100, IF(Table2[[#This Row],[Speed]]&lt;=6, -100, 0))</f>
        <v>100</v>
      </c>
      <c r="I65" s="8">
        <f>IF(Table2[[#This Row],[Functionality]]&gt;=9, 100, IF(Table2[[#This Row],[Functionality]]&lt;=6, -100, 0))</f>
        <v>0</v>
      </c>
      <c r="J65" s="8">
        <f>IF(Table2[[#This Row],[Stability]]&gt;=9, 100, IF(Table2[[#This Row],[Stability]]&lt;=6, -100, 0))</f>
        <v>100</v>
      </c>
    </row>
    <row r="66" spans="1:10" ht="66" x14ac:dyDescent="0.25">
      <c r="A66" s="7" t="str">
        <f>TEXT(Table2[[#This Row],[Date]], "YYYY-MM")</f>
        <v>2026-04</v>
      </c>
      <c r="B66" s="7">
        <v>46130</v>
      </c>
      <c r="C66" s="6" t="s">
        <v>13</v>
      </c>
      <c r="D66" s="10" t="s">
        <v>91</v>
      </c>
      <c r="E66" s="8" cm="1">
        <f t="array" ref="E66">OLLAMA("Create a rating from 0 to 10 for speed from the following review (DO NOT add extra text. ONLY reply with a number): ", Table2[[#This Row],[Review]])+0</f>
        <v>2</v>
      </c>
      <c r="F66" s="8" cm="1">
        <f t="array" ref="F66">OLLAMA("Create a rating from 0 to 10 for functionality from the following review (DO NOT add extra text. ONLY reply with a number): ", Table2[[#This Row],[Review]])+0</f>
        <v>2</v>
      </c>
      <c r="G66" s="8" cm="1">
        <f t="array" ref="G66">OLLAMA("Create a rating from 0 to 10 for stability from the following review (DO NOT add extra text. ONLY reply with a number): ", Table2[[#This Row],[Review]])+0</f>
        <v>2</v>
      </c>
      <c r="H66" s="8">
        <f>IF(Table2[[#This Row],[Speed]]&gt;=9, 100, IF(Table2[[#This Row],[Speed]]&lt;=6, -100, 0))</f>
        <v>-100</v>
      </c>
      <c r="I66" s="8">
        <f>IF(Table2[[#This Row],[Functionality]]&gt;=9, 100, IF(Table2[[#This Row],[Functionality]]&lt;=6, -100, 0))</f>
        <v>-100</v>
      </c>
      <c r="J66" s="8">
        <f>IF(Table2[[#This Row],[Stability]]&gt;=9, 100, IF(Table2[[#This Row],[Stability]]&lt;=6, -100, 0))</f>
        <v>-100</v>
      </c>
    </row>
    <row r="67" spans="1:10" ht="66" x14ac:dyDescent="0.25">
      <c r="A67" s="7" t="str">
        <f>TEXT(Table2[[#This Row],[Date]], "YYYY-MM")</f>
        <v>2026-04</v>
      </c>
      <c r="B67" s="7">
        <v>46137</v>
      </c>
      <c r="C67" s="6" t="s">
        <v>12</v>
      </c>
      <c r="D67" s="10" t="s">
        <v>92</v>
      </c>
      <c r="E67" s="8" cm="1">
        <f t="array" ref="E67">OLLAMA("Create a rating from 0 to 10 for speed from the following review (DO NOT add extra text. ONLY reply with a number): ", Table2[[#This Row],[Review]])+0</f>
        <v>8</v>
      </c>
      <c r="F67" s="8" cm="1">
        <f t="array" ref="F67">OLLAMA("Create a rating from 0 to 10 for functionality from the following review (DO NOT add extra text. ONLY reply with a number): ", Table2[[#This Row],[Review]])+0</f>
        <v>9</v>
      </c>
      <c r="G67" s="8" cm="1">
        <f t="array" ref="G67">OLLAMA("Create a rating from 0 to 10 for stability from the following review (DO NOT add extra text. ONLY reply with a number): ", Table2[[#This Row],[Review]])+0</f>
        <v>9</v>
      </c>
      <c r="H67" s="8">
        <f>IF(Table2[[#This Row],[Speed]]&gt;=9, 100, IF(Table2[[#This Row],[Speed]]&lt;=6, -100, 0))</f>
        <v>0</v>
      </c>
      <c r="I67" s="8">
        <f>IF(Table2[[#This Row],[Functionality]]&gt;=9, 100, IF(Table2[[#This Row],[Functionality]]&lt;=6, -100, 0))</f>
        <v>100</v>
      </c>
      <c r="J67" s="8">
        <f>IF(Table2[[#This Row],[Stability]]&gt;=9, 100, IF(Table2[[#This Row],[Stability]]&lt;=6, -100, 0))</f>
        <v>100</v>
      </c>
    </row>
    <row r="68" spans="1:10" ht="66" x14ac:dyDescent="0.25">
      <c r="A68" s="7" t="str">
        <f>TEXT(Table2[[#This Row],[Date]], "YYYY-MM")</f>
        <v>2026-05</v>
      </c>
      <c r="B68" s="7">
        <v>46144</v>
      </c>
      <c r="C68" s="6" t="s">
        <v>14</v>
      </c>
      <c r="D68" s="10" t="s">
        <v>93</v>
      </c>
      <c r="E68" s="8" cm="1">
        <f t="array" ref="E68">OLLAMA("Create a rating from 0 to 10 for speed from the following review (DO NOT add extra text. ONLY reply with a number): ", Table2[[#This Row],[Review]])+0</f>
        <v>9</v>
      </c>
      <c r="F68" s="8" cm="1">
        <f t="array" ref="F68">OLLAMA("Create a rating from 0 to 10 for functionality from the following review (DO NOT add extra text. ONLY reply with a number): ", Table2[[#This Row],[Review]])+0</f>
        <v>9</v>
      </c>
      <c r="G68" s="8" cm="1">
        <f t="array" ref="G68">OLLAMA("Create a rating from 0 to 10 for stability from the following review (DO NOT add extra text. ONLY reply with a number): ", Table2[[#This Row],[Review]])+0</f>
        <v>9</v>
      </c>
      <c r="H68" s="8">
        <f>IF(Table2[[#This Row],[Speed]]&gt;=9, 100, IF(Table2[[#This Row],[Speed]]&lt;=6, -100, 0))</f>
        <v>100</v>
      </c>
      <c r="I68" s="8">
        <f>IF(Table2[[#This Row],[Functionality]]&gt;=9, 100, IF(Table2[[#This Row],[Functionality]]&lt;=6, -100, 0))</f>
        <v>100</v>
      </c>
      <c r="J68" s="8">
        <f>IF(Table2[[#This Row],[Stability]]&gt;=9, 100, IF(Table2[[#This Row],[Stability]]&lt;=6, -100, 0))</f>
        <v>100</v>
      </c>
    </row>
    <row r="69" spans="1:10" ht="66" x14ac:dyDescent="0.25">
      <c r="A69" s="7" t="str">
        <f>TEXT(Table2[[#This Row],[Date]], "YYYY-MM")</f>
        <v>2026-05</v>
      </c>
      <c r="B69" s="7">
        <v>46151</v>
      </c>
      <c r="C69" s="6" t="s">
        <v>13</v>
      </c>
      <c r="D69" s="10" t="s">
        <v>94</v>
      </c>
      <c r="E69" s="8" cm="1">
        <f t="array" ref="E69">OLLAMA("Create a rating from 0 to 10 for speed from the following review (DO NOT add extra text. ONLY reply with a number): ", Table2[[#This Row],[Review]])+0</f>
        <v>2</v>
      </c>
      <c r="F69" s="8" cm="1">
        <f t="array" ref="F69">OLLAMA("Create a rating from 0 to 10 for functionality from the following review (DO NOT add extra text. ONLY reply with a number): ", Table2[[#This Row],[Review]])+0</f>
        <v>2</v>
      </c>
      <c r="G69" s="8" cm="1">
        <f t="array" ref="G69">OLLAMA("Create a rating from 0 to 10 for stability from the following review (DO NOT add extra text. ONLY reply with a number): ", Table2[[#This Row],[Review]])+0</f>
        <v>2</v>
      </c>
      <c r="H69" s="8">
        <f>IF(Table2[[#This Row],[Speed]]&gt;=9, 100, IF(Table2[[#This Row],[Speed]]&lt;=6, -100, 0))</f>
        <v>-100</v>
      </c>
      <c r="I69" s="8">
        <f>IF(Table2[[#This Row],[Functionality]]&gt;=9, 100, IF(Table2[[#This Row],[Functionality]]&lt;=6, -100, 0))</f>
        <v>-100</v>
      </c>
      <c r="J69" s="8">
        <f>IF(Table2[[#This Row],[Stability]]&gt;=9, 100, IF(Table2[[#This Row],[Stability]]&lt;=6, -100, 0))</f>
        <v>-100</v>
      </c>
    </row>
    <row r="70" spans="1:10" ht="66" x14ac:dyDescent="0.25">
      <c r="A70" s="7" t="str">
        <f>TEXT(Table2[[#This Row],[Date]], "YYYY-MM")</f>
        <v>2026-05</v>
      </c>
      <c r="B70" s="7">
        <v>46158</v>
      </c>
      <c r="C70" s="6" t="s">
        <v>12</v>
      </c>
      <c r="D70" s="10" t="s">
        <v>95</v>
      </c>
      <c r="E70" s="8" cm="1">
        <f t="array" ref="E70">OLLAMA("Create a rating from 0 to 10 for speed from the following review (DO NOT add extra text. ONLY reply with a number): ", Table2[[#This Row],[Review]])+0</f>
        <v>9</v>
      </c>
      <c r="F70" s="8" cm="1">
        <f t="array" ref="F70">OLLAMA("Create a rating from 0 to 10 for functionality from the following review (DO NOT add extra text. ONLY reply with a number): ", Table2[[#This Row],[Review]])+0</f>
        <v>9</v>
      </c>
      <c r="G70" s="8" cm="1">
        <f t="array" ref="G70">OLLAMA("Create a rating from 0 to 10 for stability from the following review (DO NOT add extra text. ONLY reply with a number): ", Table2[[#This Row],[Review]])+0</f>
        <v>9</v>
      </c>
      <c r="H70" s="8">
        <f>IF(Table2[[#This Row],[Speed]]&gt;=9, 100, IF(Table2[[#This Row],[Speed]]&lt;=6, -100, 0))</f>
        <v>100</v>
      </c>
      <c r="I70" s="8">
        <f>IF(Table2[[#This Row],[Functionality]]&gt;=9, 100, IF(Table2[[#This Row],[Functionality]]&lt;=6, -100, 0))</f>
        <v>100</v>
      </c>
      <c r="J70" s="8">
        <f>IF(Table2[[#This Row],[Stability]]&gt;=9, 100, IF(Table2[[#This Row],[Stability]]&lt;=6, -100, 0))</f>
        <v>100</v>
      </c>
    </row>
    <row r="71" spans="1:10" ht="66" x14ac:dyDescent="0.25">
      <c r="A71" s="7" t="str">
        <f>TEXT(Table2[[#This Row],[Date]], "YYYY-MM")</f>
        <v>2026-05</v>
      </c>
      <c r="B71" s="7">
        <v>46165</v>
      </c>
      <c r="C71" s="6" t="s">
        <v>14</v>
      </c>
      <c r="D71" s="10" t="s">
        <v>96</v>
      </c>
      <c r="E71" s="8" cm="1">
        <f t="array" ref="E71">OLLAMA("Create a rating from 0 to 10 for speed from the following review (DO NOT add extra text. ONLY reply with a number): ", Table2[[#This Row],[Review]])+0</f>
        <v>9</v>
      </c>
      <c r="F71" s="8" cm="1">
        <f t="array" ref="F71">OLLAMA("Create a rating from 0 to 10 for functionality from the following review (DO NOT add extra text. ONLY reply with a number): ", Table2[[#This Row],[Review]])+0</f>
        <v>9</v>
      </c>
      <c r="G71" s="8" cm="1">
        <f t="array" ref="G71">OLLAMA("Create a rating from 0 to 10 for stability from the following review (DO NOT add extra text. ONLY reply with a number): ", Table2[[#This Row],[Review]])+0</f>
        <v>9</v>
      </c>
      <c r="H71" s="8">
        <f>IF(Table2[[#This Row],[Speed]]&gt;=9, 100, IF(Table2[[#This Row],[Speed]]&lt;=6, -100, 0))</f>
        <v>100</v>
      </c>
      <c r="I71" s="8">
        <f>IF(Table2[[#This Row],[Functionality]]&gt;=9, 100, IF(Table2[[#This Row],[Functionality]]&lt;=6, -100, 0))</f>
        <v>100</v>
      </c>
      <c r="J71" s="8">
        <f>IF(Table2[[#This Row],[Stability]]&gt;=9, 100, IF(Table2[[#This Row],[Stability]]&lt;=6, -100, 0))</f>
        <v>100</v>
      </c>
    </row>
    <row r="72" spans="1:10" ht="66" x14ac:dyDescent="0.25">
      <c r="A72" s="7" t="str">
        <f>TEXT(Table2[[#This Row],[Date]], "YYYY-MM")</f>
        <v>2026-05</v>
      </c>
      <c r="B72" s="7">
        <v>46172</v>
      </c>
      <c r="C72" s="6" t="s">
        <v>13</v>
      </c>
      <c r="D72" s="10" t="s">
        <v>97</v>
      </c>
      <c r="E72" s="8" cm="1">
        <f t="array" ref="E72">OLLAMA("Create a rating from 0 to 10 for speed from the following review (DO NOT add extra text. ONLY reply with a number): ", Table2[[#This Row],[Review]])+0</f>
        <v>2</v>
      </c>
      <c r="F72" s="8" cm="1">
        <f t="array" ref="F72">OLLAMA("Create a rating from 0 to 10 for functionality from the following review (DO NOT add extra text. ONLY reply with a number): ", Table2[[#This Row],[Review]])+0</f>
        <v>2</v>
      </c>
      <c r="G72" s="8" cm="1">
        <f t="array" ref="G72">OLLAMA("Create a rating from 0 to 10 for stability from the following review (DO NOT add extra text. ONLY reply with a number): ", Table2[[#This Row],[Review]])+0</f>
        <v>2</v>
      </c>
      <c r="H72" s="8">
        <f>IF(Table2[[#This Row],[Speed]]&gt;=9, 100, IF(Table2[[#This Row],[Speed]]&lt;=6, -100, 0))</f>
        <v>-100</v>
      </c>
      <c r="I72" s="8">
        <f>IF(Table2[[#This Row],[Functionality]]&gt;=9, 100, IF(Table2[[#This Row],[Functionality]]&lt;=6, -100, 0))</f>
        <v>-100</v>
      </c>
      <c r="J72" s="8">
        <f>IF(Table2[[#This Row],[Stability]]&gt;=9, 100, IF(Table2[[#This Row],[Stability]]&lt;=6, -100, 0))</f>
        <v>-100</v>
      </c>
    </row>
    <row r="73" spans="1:10" ht="66" x14ac:dyDescent="0.25">
      <c r="A73" s="7" t="str">
        <f>TEXT(Table2[[#This Row],[Date]], "YYYY-MM")</f>
        <v>2026-06</v>
      </c>
      <c r="B73" s="7">
        <v>46179</v>
      </c>
      <c r="C73" s="6" t="s">
        <v>12</v>
      </c>
      <c r="D73" s="10" t="s">
        <v>98</v>
      </c>
      <c r="E73" s="8" cm="1">
        <f t="array" ref="E73">OLLAMA("Create a rating from 0 to 10 for speed from the following review (DO NOT add extra text. ONLY reply with a number): ", Table2[[#This Row],[Review]])+0</f>
        <v>9</v>
      </c>
      <c r="F73" s="8" cm="1">
        <f t="array" ref="F73">OLLAMA("Create a rating from 0 to 10 for functionality from the following review (DO NOT add extra text. ONLY reply with a number): ", Table2[[#This Row],[Review]])+0</f>
        <v>10</v>
      </c>
      <c r="G73" s="8" cm="1">
        <f t="array" ref="G73">OLLAMA("Create a rating from 0 to 10 for stability from the following review (DO NOT add extra text. ONLY reply with a number): ", Table2[[#This Row],[Review]])+0</f>
        <v>9</v>
      </c>
      <c r="H73" s="8">
        <f>IF(Table2[[#This Row],[Speed]]&gt;=9, 100, IF(Table2[[#This Row],[Speed]]&lt;=6, -100, 0))</f>
        <v>100</v>
      </c>
      <c r="I73" s="8">
        <f>IF(Table2[[#This Row],[Functionality]]&gt;=9, 100, IF(Table2[[#This Row],[Functionality]]&lt;=6, -100, 0))</f>
        <v>100</v>
      </c>
      <c r="J73" s="8">
        <f>IF(Table2[[#This Row],[Stability]]&gt;=9, 100, IF(Table2[[#This Row],[Stability]]&lt;=6, -100, 0))</f>
        <v>100</v>
      </c>
    </row>
    <row r="74" spans="1:10" ht="66" x14ac:dyDescent="0.25">
      <c r="A74" s="7" t="str">
        <f>TEXT(Table2[[#This Row],[Date]], "YYYY-MM")</f>
        <v>2026-06</v>
      </c>
      <c r="B74" s="7">
        <v>46186</v>
      </c>
      <c r="C74" s="6" t="s">
        <v>14</v>
      </c>
      <c r="D74" s="10" t="s">
        <v>99</v>
      </c>
      <c r="E74" s="8" cm="1">
        <f t="array" ref="E74">OLLAMA("Create a rating from 0 to 10 for speed from the following review (DO NOT add extra text. ONLY reply with a number): ", Table2[[#This Row],[Review]])+0</f>
        <v>9</v>
      </c>
      <c r="F74" s="8" cm="1">
        <f t="array" ref="F74">OLLAMA("Create a rating from 0 to 10 for functionality from the following review (DO NOT add extra text. ONLY reply with a number): ", Table2[[#This Row],[Review]])+0</f>
        <v>9</v>
      </c>
      <c r="G74" s="8" cm="1">
        <f t="array" ref="G74">OLLAMA("Create a rating from 0 to 10 for stability from the following review (DO NOT add extra text. ONLY reply with a number): ", Table2[[#This Row],[Review]])+0</f>
        <v>9</v>
      </c>
      <c r="H74" s="8">
        <f>IF(Table2[[#This Row],[Speed]]&gt;=9, 100, IF(Table2[[#This Row],[Speed]]&lt;=6, -100, 0))</f>
        <v>100</v>
      </c>
      <c r="I74" s="8">
        <f>IF(Table2[[#This Row],[Functionality]]&gt;=9, 100, IF(Table2[[#This Row],[Functionality]]&lt;=6, -100, 0))</f>
        <v>100</v>
      </c>
      <c r="J74" s="8">
        <f>IF(Table2[[#This Row],[Stability]]&gt;=9, 100, IF(Table2[[#This Row],[Stability]]&lt;=6, -100, 0))</f>
        <v>100</v>
      </c>
    </row>
    <row r="75" spans="1:10" ht="44" x14ac:dyDescent="0.25">
      <c r="A75" s="7" t="str">
        <f>TEXT(Table2[[#This Row],[Date]], "YYYY-MM")</f>
        <v>2026-06</v>
      </c>
      <c r="B75" s="7">
        <v>46193</v>
      </c>
      <c r="C75" s="6" t="s">
        <v>13</v>
      </c>
      <c r="D75" s="10" t="s">
        <v>130</v>
      </c>
      <c r="E75" s="8" cm="1">
        <f t="array" ref="E75">OLLAMA("Create a rating from 0 to 10 for speed from the following review (DO NOT add extra text. ONLY reply with a number): ", Table2[[#This Row],[Review]])+0</f>
        <v>4</v>
      </c>
      <c r="F75" s="8" cm="1">
        <f t="array" ref="F75">OLLAMA("Create a rating from 0 to 10 for functionality from the following review (DO NOT add extra text. ONLY reply with a number): ", Table2[[#This Row],[Review]])+0</f>
        <v>4</v>
      </c>
      <c r="G75" s="8" cm="1">
        <f t="array" ref="G75">OLLAMA("Create a rating from 0 to 10 for stability from the following review (DO NOT add extra text. ONLY reply with a number): ", Table2[[#This Row],[Review]])+0</f>
        <v>2</v>
      </c>
      <c r="H75" s="8">
        <f>IF(Table2[[#This Row],[Speed]]&gt;=9, 100, IF(Table2[[#This Row],[Speed]]&lt;=6, -100, 0))</f>
        <v>-100</v>
      </c>
      <c r="I75" s="8">
        <f>IF(Table2[[#This Row],[Functionality]]&gt;=9, 100, IF(Table2[[#This Row],[Functionality]]&lt;=6, -100, 0))</f>
        <v>-100</v>
      </c>
      <c r="J75" s="8">
        <f>IF(Table2[[#This Row],[Stability]]&gt;=9, 100, IF(Table2[[#This Row],[Stability]]&lt;=6, -100, 0))</f>
        <v>-100</v>
      </c>
    </row>
    <row r="76" spans="1:10" ht="66" x14ac:dyDescent="0.25">
      <c r="A76" s="7" t="str">
        <f>TEXT(Table2[[#This Row],[Date]], "YYYY-MM")</f>
        <v>2026-06</v>
      </c>
      <c r="B76" s="7">
        <v>46200</v>
      </c>
      <c r="C76" s="6" t="s">
        <v>12</v>
      </c>
      <c r="D76" s="10" t="s">
        <v>100</v>
      </c>
      <c r="E76" s="8" cm="1">
        <f t="array" ref="E76">OLLAMA("Create a rating from 0 to 10 for speed from the following review (DO NOT add extra text. ONLY reply with a number): ", Table2[[#This Row],[Review]])+0</f>
        <v>9</v>
      </c>
      <c r="F76" s="8" cm="1">
        <f t="array" ref="F76">OLLAMA("Create a rating from 0 to 10 for functionality from the following review (DO NOT add extra text. ONLY reply with a number): ", Table2[[#This Row],[Review]])+0</f>
        <v>9</v>
      </c>
      <c r="G76" s="8" cm="1">
        <f t="array" ref="G76">OLLAMA("Create a rating from 0 to 10 for stability from the following review (DO NOT add extra text. ONLY reply with a number): ", Table2[[#This Row],[Review]])+0</f>
        <v>9</v>
      </c>
      <c r="H76" s="8">
        <f>IF(Table2[[#This Row],[Speed]]&gt;=9, 100, IF(Table2[[#This Row],[Speed]]&lt;=6, -100, 0))</f>
        <v>100</v>
      </c>
      <c r="I76" s="8">
        <f>IF(Table2[[#This Row],[Functionality]]&gt;=9, 100, IF(Table2[[#This Row],[Functionality]]&lt;=6, -100, 0))</f>
        <v>100</v>
      </c>
      <c r="J76" s="8">
        <f>IF(Table2[[#This Row],[Stability]]&gt;=9, 100, IF(Table2[[#This Row],[Stability]]&lt;=6, -100, 0))</f>
        <v>100</v>
      </c>
    </row>
    <row r="77" spans="1:10" ht="66" x14ac:dyDescent="0.25">
      <c r="A77" s="7" t="str">
        <f>TEXT(Table2[[#This Row],[Date]], "YYYY-MM")</f>
        <v>2026-07</v>
      </c>
      <c r="B77" s="7">
        <v>46207</v>
      </c>
      <c r="C77" s="6" t="s">
        <v>14</v>
      </c>
      <c r="D77" s="10" t="s">
        <v>101</v>
      </c>
      <c r="E77" s="8" cm="1">
        <f t="array" ref="E77">OLLAMA("Create a rating from 0 to 10 for speed from the following review (DO NOT add extra text. ONLY reply with a number): ", Table2[[#This Row],[Review]])+0</f>
        <v>9</v>
      </c>
      <c r="F77" s="8" cm="1">
        <f t="array" ref="F77">OLLAMA("Create a rating from 0 to 10 for functionality from the following review (DO NOT add extra text. ONLY reply with a number): ", Table2[[#This Row],[Review]])+0</f>
        <v>9</v>
      </c>
      <c r="G77" s="8" cm="1">
        <f t="array" ref="G77">OLLAMA("Create a rating from 0 to 10 for stability from the following review (DO NOT add extra text. ONLY reply with a number): ", Table2[[#This Row],[Review]])+0</f>
        <v>10</v>
      </c>
      <c r="H77" s="8">
        <f>IF(Table2[[#This Row],[Speed]]&gt;=9, 100, IF(Table2[[#This Row],[Speed]]&lt;=6, -100, 0))</f>
        <v>100</v>
      </c>
      <c r="I77" s="8">
        <f>IF(Table2[[#This Row],[Functionality]]&gt;=9, 100, IF(Table2[[#This Row],[Functionality]]&lt;=6, -100, 0))</f>
        <v>100</v>
      </c>
      <c r="J77" s="8">
        <f>IF(Table2[[#This Row],[Stability]]&gt;=9, 100, IF(Table2[[#This Row],[Stability]]&lt;=6, -100, 0))</f>
        <v>100</v>
      </c>
    </row>
    <row r="78" spans="1:10" ht="66" x14ac:dyDescent="0.25">
      <c r="A78" s="7" t="str">
        <f>TEXT(Table2[[#This Row],[Date]], "YYYY-MM")</f>
        <v>2026-07</v>
      </c>
      <c r="B78" s="7">
        <v>46214</v>
      </c>
      <c r="C78" s="6" t="s">
        <v>13</v>
      </c>
      <c r="D78" s="10" t="s">
        <v>129</v>
      </c>
      <c r="E78" s="8" cm="1">
        <f t="array" ref="E78">OLLAMA("Create a rating from 0 to 10 for speed from the following review (DO NOT add extra text. ONLY reply with a number): ", Table2[[#This Row],[Review]])+0</f>
        <v>4</v>
      </c>
      <c r="F78" s="8" cm="1">
        <f t="array" ref="F78">OLLAMA("Create a rating from 0 to 10 for functionality from the following review (DO NOT add extra text. ONLY reply with a number): ", Table2[[#This Row],[Review]])+0</f>
        <v>4</v>
      </c>
      <c r="G78" s="8" cm="1">
        <f t="array" ref="G78">OLLAMA("Create a rating from 0 to 10 for stability from the following review (DO NOT add extra text. ONLY reply with a number): ", Table2[[#This Row],[Review]])+0</f>
        <v>4</v>
      </c>
      <c r="H78" s="8">
        <f>IF(Table2[[#This Row],[Speed]]&gt;=9, 100, IF(Table2[[#This Row],[Speed]]&lt;=6, -100, 0))</f>
        <v>-100</v>
      </c>
      <c r="I78" s="8">
        <f>IF(Table2[[#This Row],[Functionality]]&gt;=9, 100, IF(Table2[[#This Row],[Functionality]]&lt;=6, -100, 0))</f>
        <v>-100</v>
      </c>
      <c r="J78" s="8">
        <f>IF(Table2[[#This Row],[Stability]]&gt;=9, 100, IF(Table2[[#This Row],[Stability]]&lt;=6, -100, 0))</f>
        <v>-100</v>
      </c>
    </row>
    <row r="79" spans="1:10" ht="66" x14ac:dyDescent="0.25">
      <c r="A79" s="7" t="str">
        <f>TEXT(Table2[[#This Row],[Date]], "YYYY-MM")</f>
        <v>2026-07</v>
      </c>
      <c r="B79" s="7">
        <v>46221</v>
      </c>
      <c r="C79" s="6" t="s">
        <v>12</v>
      </c>
      <c r="D79" s="10" t="s">
        <v>102</v>
      </c>
      <c r="E79" s="8" cm="1">
        <f t="array" ref="E79">OLLAMA("Create a rating from 0 to 10 for speed from the following review (DO NOT add extra text. ONLY reply with a number): ", Table2[[#This Row],[Review]])+0</f>
        <v>9</v>
      </c>
      <c r="F79" s="8" cm="1">
        <f t="array" ref="F79">OLLAMA("Create a rating from 0 to 10 for functionality from the following review (DO NOT add extra text. ONLY reply with a number): ", Table2[[#This Row],[Review]])+0</f>
        <v>9</v>
      </c>
      <c r="G79" s="8" cm="1">
        <f t="array" ref="G79">OLLAMA("Create a rating from 0 to 10 for stability from the following review (DO NOT add extra text. ONLY reply with a number): ", Table2[[#This Row],[Review]])+0</f>
        <v>10</v>
      </c>
      <c r="H79" s="8">
        <f>IF(Table2[[#This Row],[Speed]]&gt;=9, 100, IF(Table2[[#This Row],[Speed]]&lt;=6, -100, 0))</f>
        <v>100</v>
      </c>
      <c r="I79" s="8">
        <f>IF(Table2[[#This Row],[Functionality]]&gt;=9, 100, IF(Table2[[#This Row],[Functionality]]&lt;=6, -100, 0))</f>
        <v>100</v>
      </c>
      <c r="J79" s="8">
        <f>IF(Table2[[#This Row],[Stability]]&gt;=9, 100, IF(Table2[[#This Row],[Stability]]&lt;=6, -100, 0))</f>
        <v>100</v>
      </c>
    </row>
    <row r="80" spans="1:10" ht="66" x14ac:dyDescent="0.25">
      <c r="A80" s="7" t="str">
        <f>TEXT(Table2[[#This Row],[Date]], "YYYY-MM")</f>
        <v>2026-07</v>
      </c>
      <c r="B80" s="7">
        <v>46228</v>
      </c>
      <c r="C80" s="6" t="s">
        <v>14</v>
      </c>
      <c r="D80" s="10" t="s">
        <v>103</v>
      </c>
      <c r="E80" s="8" cm="1">
        <f t="array" ref="E80">OLLAMA("Create a rating from 0 to 10 for speed from the following review (DO NOT add extra text. ONLY reply with a number): ", Table2[[#This Row],[Review]])+0</f>
        <v>9</v>
      </c>
      <c r="F80" s="8" cm="1">
        <f t="array" ref="F80">OLLAMA("Create a rating from 0 to 10 for functionality from the following review (DO NOT add extra text. ONLY reply with a number): ", Table2[[#This Row],[Review]])+0</f>
        <v>9</v>
      </c>
      <c r="G80" s="8" cm="1">
        <f t="array" ref="G80">OLLAMA("Create a rating from 0 to 10 for stability from the following review (DO NOT add extra text. ONLY reply with a number): ", Table2[[#This Row],[Review]])+0</f>
        <v>10</v>
      </c>
      <c r="H80" s="8">
        <f>IF(Table2[[#This Row],[Speed]]&gt;=9, 100, IF(Table2[[#This Row],[Speed]]&lt;=6, -100, 0))</f>
        <v>100</v>
      </c>
      <c r="I80" s="8">
        <f>IF(Table2[[#This Row],[Functionality]]&gt;=9, 100, IF(Table2[[#This Row],[Functionality]]&lt;=6, -100, 0))</f>
        <v>100</v>
      </c>
      <c r="J80" s="8">
        <f>IF(Table2[[#This Row],[Stability]]&gt;=9, 100, IF(Table2[[#This Row],[Stability]]&lt;=6, -100, 0))</f>
        <v>100</v>
      </c>
    </row>
    <row r="81" spans="1:10" ht="88" x14ac:dyDescent="0.25">
      <c r="A81" s="7" t="str">
        <f>TEXT(Table2[[#This Row],[Date]], "YYYY-MM")</f>
        <v>2026-08</v>
      </c>
      <c r="B81" s="7">
        <v>46235</v>
      </c>
      <c r="C81" s="6" t="s">
        <v>13</v>
      </c>
      <c r="D81" s="10" t="s">
        <v>128</v>
      </c>
      <c r="E81" s="8" cm="1">
        <f t="array" ref="E81">OLLAMA("Create a rating from 0 to 10 for speed from the following review (DO NOT add extra text. ONLY reply with a number): ", Table2[[#This Row],[Review]])+0</f>
        <v>2</v>
      </c>
      <c r="F81" s="8" cm="1">
        <f t="array" ref="F81">OLLAMA("Create a rating from 0 to 10 for functionality from the following review (DO NOT add extra text. ONLY reply with a number): ", Table2[[#This Row],[Review]])+0</f>
        <v>4</v>
      </c>
      <c r="G81" s="8" cm="1">
        <f t="array" ref="G81">OLLAMA("Create a rating from 0 to 10 for stability from the following review (DO NOT add extra text. ONLY reply with a number): ", Table2[[#This Row],[Review]])+0</f>
        <v>4</v>
      </c>
      <c r="H81" s="8">
        <f>IF(Table2[[#This Row],[Speed]]&gt;=9, 100, IF(Table2[[#This Row],[Speed]]&lt;=6, -100, 0))</f>
        <v>-100</v>
      </c>
      <c r="I81" s="8">
        <f>IF(Table2[[#This Row],[Functionality]]&gt;=9, 100, IF(Table2[[#This Row],[Functionality]]&lt;=6, -100, 0))</f>
        <v>-100</v>
      </c>
      <c r="J81" s="8">
        <f>IF(Table2[[#This Row],[Stability]]&gt;=9, 100, IF(Table2[[#This Row],[Stability]]&lt;=6, -100, 0))</f>
        <v>-100</v>
      </c>
    </row>
    <row r="82" spans="1:10" ht="66" x14ac:dyDescent="0.25">
      <c r="A82" s="7" t="str">
        <f>TEXT(Table2[[#This Row],[Date]], "YYYY-MM")</f>
        <v>2026-08</v>
      </c>
      <c r="B82" s="7">
        <v>46242</v>
      </c>
      <c r="C82" s="6" t="s">
        <v>12</v>
      </c>
      <c r="D82" s="10" t="s">
        <v>104</v>
      </c>
      <c r="E82" s="8" cm="1">
        <f t="array" ref="E82">OLLAMA("Create a rating from 0 to 10 for speed from the following review (DO NOT add extra text. ONLY reply with a number): ", Table2[[#This Row],[Review]])+0</f>
        <v>9</v>
      </c>
      <c r="F82" s="8" cm="1">
        <f t="array" ref="F82">OLLAMA("Create a rating from 0 to 10 for functionality from the following review (DO NOT add extra text. ONLY reply with a number): ", Table2[[#This Row],[Review]])+0</f>
        <v>10</v>
      </c>
      <c r="G82" s="8" cm="1">
        <f t="array" ref="G82">OLLAMA("Create a rating from 0 to 10 for stability from the following review (DO NOT add extra text. ONLY reply with a number): ", Table2[[#This Row],[Review]])+0</f>
        <v>10</v>
      </c>
      <c r="H82" s="8">
        <f>IF(Table2[[#This Row],[Speed]]&gt;=9, 100, IF(Table2[[#This Row],[Speed]]&lt;=6, -100, 0))</f>
        <v>100</v>
      </c>
      <c r="I82" s="8">
        <f>IF(Table2[[#This Row],[Functionality]]&gt;=9, 100, IF(Table2[[#This Row],[Functionality]]&lt;=6, -100, 0))</f>
        <v>100</v>
      </c>
      <c r="J82" s="8">
        <f>IF(Table2[[#This Row],[Stability]]&gt;=9, 100, IF(Table2[[#This Row],[Stability]]&lt;=6, -100, 0))</f>
        <v>100</v>
      </c>
    </row>
    <row r="83" spans="1:10" ht="66" x14ac:dyDescent="0.25">
      <c r="A83" s="7" t="str">
        <f>TEXT(Table2[[#This Row],[Date]], "YYYY-MM")</f>
        <v>2026-08</v>
      </c>
      <c r="B83" s="7">
        <v>46249</v>
      </c>
      <c r="C83" s="6" t="s">
        <v>14</v>
      </c>
      <c r="D83" s="10" t="s">
        <v>105</v>
      </c>
      <c r="E83" s="8" cm="1">
        <f t="array" ref="E83">OLLAMA("Create a rating from 0 to 10 for speed from the following review (DO NOT add extra text. ONLY reply with a number): ", Table2[[#This Row],[Review]])+0</f>
        <v>10</v>
      </c>
      <c r="F83" s="8" cm="1">
        <f t="array" ref="F83">OLLAMA("Create a rating from 0 to 10 for functionality from the following review (DO NOT add extra text. ONLY reply with a number): ", Table2[[#This Row],[Review]])+0</f>
        <v>9</v>
      </c>
      <c r="G83" s="8" cm="1">
        <f t="array" ref="G83">OLLAMA("Create a rating from 0 to 10 for stability from the following review (DO NOT add extra text. ONLY reply with a number): ", Table2[[#This Row],[Review]])+0</f>
        <v>10</v>
      </c>
      <c r="H83" s="8">
        <f>IF(Table2[[#This Row],[Speed]]&gt;=9, 100, IF(Table2[[#This Row],[Speed]]&lt;=6, -100, 0))</f>
        <v>100</v>
      </c>
      <c r="I83" s="8">
        <f>IF(Table2[[#This Row],[Functionality]]&gt;=9, 100, IF(Table2[[#This Row],[Functionality]]&lt;=6, -100, 0))</f>
        <v>100</v>
      </c>
      <c r="J83" s="8">
        <f>IF(Table2[[#This Row],[Stability]]&gt;=9, 100, IF(Table2[[#This Row],[Stability]]&lt;=6, -100, 0))</f>
        <v>100</v>
      </c>
    </row>
    <row r="84" spans="1:10" ht="66" x14ac:dyDescent="0.25">
      <c r="A84" s="7" t="str">
        <f>TEXT(Table2[[#This Row],[Date]], "YYYY-MM")</f>
        <v>2026-08</v>
      </c>
      <c r="B84" s="7">
        <v>46256</v>
      </c>
      <c r="C84" s="6" t="s">
        <v>13</v>
      </c>
      <c r="D84" s="10" t="s">
        <v>106</v>
      </c>
      <c r="E84" s="8" cm="1">
        <f t="array" ref="E84">OLLAMA("Create a rating from 0 to 10 for speed from the following review (DO NOT add extra text. ONLY reply with a number): ", Table2[[#This Row],[Review]])+0</f>
        <v>2</v>
      </c>
      <c r="F84" s="8" cm="1">
        <f t="array" ref="F84">OLLAMA("Create a rating from 0 to 10 for functionality from the following review (DO NOT add extra text. ONLY reply with a number): ", Table2[[#This Row],[Review]])+0</f>
        <v>2</v>
      </c>
      <c r="G84" s="8" cm="1">
        <f t="array" ref="G84">OLLAMA("Create a rating from 0 to 10 for stability from the following review (DO NOT add extra text. ONLY reply with a number): ", Table2[[#This Row],[Review]])+0</f>
        <v>2</v>
      </c>
      <c r="H84" s="8">
        <f>IF(Table2[[#This Row],[Speed]]&gt;=9, 100, IF(Table2[[#This Row],[Speed]]&lt;=6, -100, 0))</f>
        <v>-100</v>
      </c>
      <c r="I84" s="8">
        <f>IF(Table2[[#This Row],[Functionality]]&gt;=9, 100, IF(Table2[[#This Row],[Functionality]]&lt;=6, -100, 0))</f>
        <v>-100</v>
      </c>
      <c r="J84" s="8">
        <f>IF(Table2[[#This Row],[Stability]]&gt;=9, 100, IF(Table2[[#This Row],[Stability]]&lt;=6, -100, 0))</f>
        <v>-100</v>
      </c>
    </row>
    <row r="85" spans="1:10" ht="66" x14ac:dyDescent="0.25">
      <c r="A85" s="7" t="str">
        <f>TEXT(Table2[[#This Row],[Date]], "YYYY-MM")</f>
        <v>2026-08</v>
      </c>
      <c r="B85" s="7">
        <v>46263</v>
      </c>
      <c r="C85" s="6" t="s">
        <v>12</v>
      </c>
      <c r="D85" s="10" t="s">
        <v>107</v>
      </c>
      <c r="E85" s="8" cm="1">
        <f t="array" ref="E85">OLLAMA("Create a rating from 0 to 10 for speed from the following review (DO NOT add extra text. ONLY reply with a number): ", Table2[[#This Row],[Review]])+0</f>
        <v>9</v>
      </c>
      <c r="F85" s="8" cm="1">
        <f t="array" ref="F85">OLLAMA("Create a rating from 0 to 10 for functionality from the following review (DO NOT add extra text. ONLY reply with a number): ", Table2[[#This Row],[Review]])+0</f>
        <v>10</v>
      </c>
      <c r="G85" s="8" cm="1">
        <f t="array" ref="G85">OLLAMA("Create a rating from 0 to 10 for stability from the following review (DO NOT add extra text. ONLY reply with a number): ", Table2[[#This Row],[Review]])+0</f>
        <v>9</v>
      </c>
      <c r="H85" s="8">
        <f>IF(Table2[[#This Row],[Speed]]&gt;=9, 100, IF(Table2[[#This Row],[Speed]]&lt;=6, -100, 0))</f>
        <v>100</v>
      </c>
      <c r="I85" s="8">
        <f>IF(Table2[[#This Row],[Functionality]]&gt;=9, 100, IF(Table2[[#This Row],[Functionality]]&lt;=6, -100, 0))</f>
        <v>100</v>
      </c>
      <c r="J85" s="8">
        <f>IF(Table2[[#This Row],[Stability]]&gt;=9, 100, IF(Table2[[#This Row],[Stability]]&lt;=6, -100, 0))</f>
        <v>100</v>
      </c>
    </row>
    <row r="86" spans="1:10" ht="66" x14ac:dyDescent="0.25">
      <c r="A86" s="7" t="str">
        <f>TEXT(Table2[[#This Row],[Date]], "YYYY-MM")</f>
        <v>2026-09</v>
      </c>
      <c r="B86" s="7">
        <v>46270</v>
      </c>
      <c r="C86" s="6" t="s">
        <v>14</v>
      </c>
      <c r="D86" s="10" t="s">
        <v>108</v>
      </c>
      <c r="E86" s="8" cm="1">
        <f t="array" ref="E86">OLLAMA("Create a rating from 0 to 10 for speed from the following review (DO NOT add extra text. ONLY reply with a number): ", Table2[[#This Row],[Review]])+0</f>
        <v>9</v>
      </c>
      <c r="F86" s="8" cm="1">
        <f t="array" ref="F86">OLLAMA("Create a rating from 0 to 10 for functionality from the following review (DO NOT add extra text. ONLY reply with a number): ", Table2[[#This Row],[Review]])+0</f>
        <v>9</v>
      </c>
      <c r="G86" s="8" cm="1">
        <f t="array" ref="G86">OLLAMA("Create a rating from 0 to 10 for stability from the following review (DO NOT add extra text. ONLY reply with a number): ", Table2[[#This Row],[Review]])+0</f>
        <v>9</v>
      </c>
      <c r="H86" s="8">
        <f>IF(Table2[[#This Row],[Speed]]&gt;=9, 100, IF(Table2[[#This Row],[Speed]]&lt;=6, -100, 0))</f>
        <v>100</v>
      </c>
      <c r="I86" s="8">
        <f>IF(Table2[[#This Row],[Functionality]]&gt;=9, 100, IF(Table2[[#This Row],[Functionality]]&lt;=6, -100, 0))</f>
        <v>100</v>
      </c>
      <c r="J86" s="8">
        <f>IF(Table2[[#This Row],[Stability]]&gt;=9, 100, IF(Table2[[#This Row],[Stability]]&lt;=6, -100, 0))</f>
        <v>100</v>
      </c>
    </row>
    <row r="87" spans="1:10" ht="66" x14ac:dyDescent="0.25">
      <c r="A87" s="7" t="str">
        <f>TEXT(Table2[[#This Row],[Date]], "YYYY-MM")</f>
        <v>2026-09</v>
      </c>
      <c r="B87" s="7">
        <v>46277</v>
      </c>
      <c r="C87" s="6" t="s">
        <v>13</v>
      </c>
      <c r="D87" s="10" t="s">
        <v>127</v>
      </c>
      <c r="E87" s="8" cm="1">
        <f t="array" ref="E87">OLLAMA("Create a rating from 0 to 10 for speed from the following review (DO NOT add extra text. ONLY reply with a number): ", Table2[[#This Row],[Review]])+0</f>
        <v>4</v>
      </c>
      <c r="F87" s="8" cm="1">
        <f t="array" ref="F87">OLLAMA("Create a rating from 0 to 10 for functionality from the following review (DO NOT add extra text. ONLY reply with a number): ", Table2[[#This Row],[Review]])+0</f>
        <v>5</v>
      </c>
      <c r="G87" s="8" cm="1">
        <f t="array" ref="G87">OLLAMA("Create a rating from 0 to 10 for stability from the following review (DO NOT add extra text. ONLY reply with a number): ", Table2[[#This Row],[Review]])+0</f>
        <v>5</v>
      </c>
      <c r="H87" s="8">
        <f>IF(Table2[[#This Row],[Speed]]&gt;=9, 100, IF(Table2[[#This Row],[Speed]]&lt;=6, -100, 0))</f>
        <v>-100</v>
      </c>
      <c r="I87" s="8">
        <f>IF(Table2[[#This Row],[Functionality]]&gt;=9, 100, IF(Table2[[#This Row],[Functionality]]&lt;=6, -100, 0))</f>
        <v>-100</v>
      </c>
      <c r="J87" s="8">
        <f>IF(Table2[[#This Row],[Stability]]&gt;=9, 100, IF(Table2[[#This Row],[Stability]]&lt;=6, -100, 0))</f>
        <v>-100</v>
      </c>
    </row>
    <row r="88" spans="1:10" ht="66" x14ac:dyDescent="0.25">
      <c r="A88" s="7" t="str">
        <f>TEXT(Table2[[#This Row],[Date]], "YYYY-MM")</f>
        <v>2026-09</v>
      </c>
      <c r="B88" s="7">
        <v>46284</v>
      </c>
      <c r="C88" s="6" t="s">
        <v>12</v>
      </c>
      <c r="D88" s="10" t="s">
        <v>109</v>
      </c>
      <c r="E88" s="8" cm="1">
        <f t="array" ref="E88">OLLAMA("Create a rating from 0 to 10 for speed from the following review (DO NOT add extra text. ONLY reply with a number): ", Table2[[#This Row],[Review]])+0</f>
        <v>9</v>
      </c>
      <c r="F88" s="8" cm="1">
        <f t="array" ref="F88">OLLAMA("Create a rating from 0 to 10 for functionality from the following review (DO NOT add extra text. ONLY reply with a number): ", Table2[[#This Row],[Review]])+0</f>
        <v>9</v>
      </c>
      <c r="G88" s="8" cm="1">
        <f t="array" ref="G88">OLLAMA("Create a rating from 0 to 10 for stability from the following review (DO NOT add extra text. ONLY reply with a number): ", Table2[[#This Row],[Review]])+0</f>
        <v>10</v>
      </c>
      <c r="H88" s="8">
        <f>IF(Table2[[#This Row],[Speed]]&gt;=9, 100, IF(Table2[[#This Row],[Speed]]&lt;=6, -100, 0))</f>
        <v>100</v>
      </c>
      <c r="I88" s="8">
        <f>IF(Table2[[#This Row],[Functionality]]&gt;=9, 100, IF(Table2[[#This Row],[Functionality]]&lt;=6, -100, 0))</f>
        <v>100</v>
      </c>
      <c r="J88" s="8">
        <f>IF(Table2[[#This Row],[Stability]]&gt;=9, 100, IF(Table2[[#This Row],[Stability]]&lt;=6, -100, 0))</f>
        <v>100</v>
      </c>
    </row>
    <row r="89" spans="1:10" ht="66" x14ac:dyDescent="0.25">
      <c r="A89" s="7" t="str">
        <f>TEXT(Table2[[#This Row],[Date]], "YYYY-MM")</f>
        <v>2026-09</v>
      </c>
      <c r="B89" s="7">
        <v>46291</v>
      </c>
      <c r="C89" s="6" t="s">
        <v>14</v>
      </c>
      <c r="D89" s="10" t="s">
        <v>110</v>
      </c>
      <c r="E89" s="8" cm="1">
        <f t="array" ref="E89">OLLAMA("Create a rating from 0 to 10 for speed from the following review (DO NOT add extra text. ONLY reply with a number): ", Table2[[#This Row],[Review]])+0</f>
        <v>9</v>
      </c>
      <c r="F89" s="8" cm="1">
        <f t="array" ref="F89">OLLAMA("Create a rating from 0 to 10 for functionality from the following review (DO NOT add extra text. ONLY reply with a number): ", Table2[[#This Row],[Review]])+0</f>
        <v>10</v>
      </c>
      <c r="G89" s="8" cm="1">
        <f t="array" ref="G89">OLLAMA("Create a rating from 0 to 10 for stability from the following review (DO NOT add extra text. ONLY reply with a number): ", Table2[[#This Row],[Review]])+0</f>
        <v>10</v>
      </c>
      <c r="H89" s="8">
        <f>IF(Table2[[#This Row],[Speed]]&gt;=9, 100, IF(Table2[[#This Row],[Speed]]&lt;=6, -100, 0))</f>
        <v>100</v>
      </c>
      <c r="I89" s="8">
        <f>IF(Table2[[#This Row],[Functionality]]&gt;=9, 100, IF(Table2[[#This Row],[Functionality]]&lt;=6, -100, 0))</f>
        <v>100</v>
      </c>
      <c r="J89" s="8">
        <f>IF(Table2[[#This Row],[Stability]]&gt;=9, 100, IF(Table2[[#This Row],[Stability]]&lt;=6, -100, 0))</f>
        <v>100</v>
      </c>
    </row>
    <row r="90" spans="1:10" ht="66" x14ac:dyDescent="0.25">
      <c r="A90" s="7" t="str">
        <f>TEXT(Table2[[#This Row],[Date]], "YYYY-MM")</f>
        <v>2026-10</v>
      </c>
      <c r="B90" s="7">
        <v>46298</v>
      </c>
      <c r="C90" s="6" t="s">
        <v>13</v>
      </c>
      <c r="D90" s="10" t="s">
        <v>111</v>
      </c>
      <c r="E90" s="8" cm="1">
        <f t="array" ref="E90">OLLAMA("Create a rating from 0 to 10 for speed from the following review (DO NOT add extra text. ONLY reply with a number): ", Table2[[#This Row],[Review]])+0</f>
        <v>2</v>
      </c>
      <c r="F90" s="8" cm="1">
        <f t="array" ref="F90">OLLAMA("Create a rating from 0 to 10 for functionality from the following review (DO NOT add extra text. ONLY reply with a number): ", Table2[[#This Row],[Review]])+0</f>
        <v>2</v>
      </c>
      <c r="G90" s="8" cm="1">
        <f t="array" ref="G90">OLLAMA("Create a rating from 0 to 10 for stability from the following review (DO NOT add extra text. ONLY reply with a number): ", Table2[[#This Row],[Review]])+0</f>
        <v>2</v>
      </c>
      <c r="H90" s="8">
        <f>IF(Table2[[#This Row],[Speed]]&gt;=9, 100, IF(Table2[[#This Row],[Speed]]&lt;=6, -100, 0))</f>
        <v>-100</v>
      </c>
      <c r="I90" s="8">
        <f>IF(Table2[[#This Row],[Functionality]]&gt;=9, 100, IF(Table2[[#This Row],[Functionality]]&lt;=6, -100, 0))</f>
        <v>-100</v>
      </c>
      <c r="J90" s="8">
        <f>IF(Table2[[#This Row],[Stability]]&gt;=9, 100, IF(Table2[[#This Row],[Stability]]&lt;=6, -100, 0))</f>
        <v>-100</v>
      </c>
    </row>
    <row r="91" spans="1:10" ht="66" x14ac:dyDescent="0.25">
      <c r="A91" s="7" t="str">
        <f>TEXT(Table2[[#This Row],[Date]], "YYYY-MM")</f>
        <v>2026-10</v>
      </c>
      <c r="B91" s="7">
        <v>46305</v>
      </c>
      <c r="C91" s="6" t="s">
        <v>12</v>
      </c>
      <c r="D91" s="10" t="s">
        <v>112</v>
      </c>
      <c r="E91" s="8" cm="1">
        <f t="array" ref="E91">OLLAMA("Create a rating from 0 to 10 for speed from the following review (DO NOT add extra text. ONLY reply with a number): ", Table2[[#This Row],[Review]])+0</f>
        <v>9</v>
      </c>
      <c r="F91" s="8" cm="1">
        <f t="array" ref="F91">OLLAMA("Create a rating from 0 to 10 for functionality from the following review (DO NOT add extra text. ONLY reply with a number): ", Table2[[#This Row],[Review]])+0</f>
        <v>9</v>
      </c>
      <c r="G91" s="8" cm="1">
        <f t="array" ref="G91">OLLAMA("Create a rating from 0 to 10 for stability from the following review (DO NOT add extra text. ONLY reply with a number): ", Table2[[#This Row],[Review]])+0</f>
        <v>10</v>
      </c>
      <c r="H91" s="8">
        <f>IF(Table2[[#This Row],[Speed]]&gt;=9, 100, IF(Table2[[#This Row],[Speed]]&lt;=6, -100, 0))</f>
        <v>100</v>
      </c>
      <c r="I91" s="8">
        <f>IF(Table2[[#This Row],[Functionality]]&gt;=9, 100, IF(Table2[[#This Row],[Functionality]]&lt;=6, -100, 0))</f>
        <v>100</v>
      </c>
      <c r="J91" s="8">
        <f>IF(Table2[[#This Row],[Stability]]&gt;=9, 100, IF(Table2[[#This Row],[Stability]]&lt;=6, -100, 0))</f>
        <v>100</v>
      </c>
    </row>
    <row r="92" spans="1:10" ht="66" x14ac:dyDescent="0.25">
      <c r="A92" s="7" t="str">
        <f>TEXT(Table2[[#This Row],[Date]], "YYYY-MM")</f>
        <v>2026-10</v>
      </c>
      <c r="B92" s="7">
        <v>46312</v>
      </c>
      <c r="C92" s="6" t="s">
        <v>14</v>
      </c>
      <c r="D92" s="10" t="s">
        <v>113</v>
      </c>
      <c r="E92" s="8" cm="1">
        <f t="array" ref="E92">OLLAMA("Create a rating from 0 to 10 for speed from the following review (DO NOT add extra text. ONLY reply with a number): ", Table2[[#This Row],[Review]])+0</f>
        <v>9</v>
      </c>
      <c r="F92" s="8" cm="1">
        <f t="array" ref="F92">OLLAMA("Create a rating from 0 to 10 for functionality from the following review (DO NOT add extra text. ONLY reply with a number): ", Table2[[#This Row],[Review]])+0</f>
        <v>10</v>
      </c>
      <c r="G92" s="8" cm="1">
        <f t="array" ref="G92">OLLAMA("Create a rating from 0 to 10 for stability from the following review (DO NOT add extra text. ONLY reply with a number): ", Table2[[#This Row],[Review]])+0</f>
        <v>10</v>
      </c>
      <c r="H92" s="8">
        <f>IF(Table2[[#This Row],[Speed]]&gt;=9, 100, IF(Table2[[#This Row],[Speed]]&lt;=6, -100, 0))</f>
        <v>100</v>
      </c>
      <c r="I92" s="8">
        <f>IF(Table2[[#This Row],[Functionality]]&gt;=9, 100, IF(Table2[[#This Row],[Functionality]]&lt;=6, -100, 0))</f>
        <v>100</v>
      </c>
      <c r="J92" s="8">
        <f>IF(Table2[[#This Row],[Stability]]&gt;=9, 100, IF(Table2[[#This Row],[Stability]]&lt;=6, -100, 0))</f>
        <v>100</v>
      </c>
    </row>
    <row r="93" spans="1:10" ht="44" x14ac:dyDescent="0.25">
      <c r="A93" s="7" t="str">
        <f>TEXT(Table2[[#This Row],[Date]], "YYYY-MM")</f>
        <v>2026-10</v>
      </c>
      <c r="B93" s="7">
        <v>46319</v>
      </c>
      <c r="C93" s="6" t="s">
        <v>13</v>
      </c>
      <c r="D93" s="10" t="s">
        <v>126</v>
      </c>
      <c r="E93" s="8" cm="1">
        <f t="array" ref="E93">OLLAMA("Create a rating from 0 to 10 for speed from the following review (DO NOT add extra text. ONLY reply with a number): ", Table2[[#This Row],[Review]])+0</f>
        <v>4</v>
      </c>
      <c r="F93" s="8" cm="1">
        <f t="array" ref="F93">OLLAMA("Create a rating from 0 to 10 for functionality from the following review (DO NOT add extra text. ONLY reply with a number): ", Table2[[#This Row],[Review]])+0</f>
        <v>7</v>
      </c>
      <c r="G93" s="8" cm="1">
        <f t="array" ref="G93">OLLAMA("Create a rating from 0 to 10 for stability from the following review (DO NOT add extra text. ONLY reply with a number): ", Table2[[#This Row],[Review]])+0</f>
        <v>4</v>
      </c>
      <c r="H93" s="8">
        <f>IF(Table2[[#This Row],[Speed]]&gt;=9, 100, IF(Table2[[#This Row],[Speed]]&lt;=6, -100, 0))</f>
        <v>-100</v>
      </c>
      <c r="I93" s="8">
        <f>IF(Table2[[#This Row],[Functionality]]&gt;=9, 100, IF(Table2[[#This Row],[Functionality]]&lt;=6, -100, 0))</f>
        <v>0</v>
      </c>
      <c r="J93" s="8">
        <f>IF(Table2[[#This Row],[Stability]]&gt;=9, 100, IF(Table2[[#This Row],[Stability]]&lt;=6, -100, 0))</f>
        <v>-100</v>
      </c>
    </row>
    <row r="94" spans="1:10" ht="66" x14ac:dyDescent="0.25">
      <c r="A94" s="7" t="str">
        <f>TEXT(Table2[[#This Row],[Date]], "YYYY-MM")</f>
        <v>2026-10</v>
      </c>
      <c r="B94" s="7">
        <v>46326</v>
      </c>
      <c r="C94" s="6" t="s">
        <v>12</v>
      </c>
      <c r="D94" s="10" t="s">
        <v>114</v>
      </c>
      <c r="E94" s="8" cm="1">
        <f t="array" ref="E94">OLLAMA("Create a rating from 0 to 10 for speed from the following review (DO NOT add extra text. ONLY reply with a number): ", Table2[[#This Row],[Review]])+0</f>
        <v>10</v>
      </c>
      <c r="F94" s="8" cm="1">
        <f t="array" ref="F94">OLLAMA("Create a rating from 0 to 10 for functionality from the following review (DO NOT add extra text. ONLY reply with a number): ", Table2[[#This Row],[Review]])+0</f>
        <v>10</v>
      </c>
      <c r="G94" s="8" cm="1">
        <f t="array" ref="G94">OLLAMA("Create a rating from 0 to 10 for stability from the following review (DO NOT add extra text. ONLY reply with a number): ", Table2[[#This Row],[Review]])+0</f>
        <v>10</v>
      </c>
      <c r="H94" s="8">
        <f>IF(Table2[[#This Row],[Speed]]&gt;=9, 100, IF(Table2[[#This Row],[Speed]]&lt;=6, -100, 0))</f>
        <v>100</v>
      </c>
      <c r="I94" s="8">
        <f>IF(Table2[[#This Row],[Functionality]]&gt;=9, 100, IF(Table2[[#This Row],[Functionality]]&lt;=6, -100, 0))</f>
        <v>100</v>
      </c>
      <c r="J94" s="8">
        <f>IF(Table2[[#This Row],[Stability]]&gt;=9, 100, IF(Table2[[#This Row],[Stability]]&lt;=6, -100, 0))</f>
        <v>100</v>
      </c>
    </row>
    <row r="95" spans="1:10" ht="66" x14ac:dyDescent="0.25">
      <c r="A95" s="7" t="str">
        <f>TEXT(Table2[[#This Row],[Date]], "YYYY-MM")</f>
        <v>2026-11</v>
      </c>
      <c r="B95" s="7">
        <v>46333</v>
      </c>
      <c r="C95" s="6" t="s">
        <v>14</v>
      </c>
      <c r="D95" s="10" t="s">
        <v>125</v>
      </c>
      <c r="E95" s="8" cm="1">
        <f t="array" ref="E95">OLLAMA("Create a rating from 0 to 10 for speed from the following review (DO NOT add extra text. ONLY reply with a number): ", Table2[[#This Row],[Review]])+0</f>
        <v>9</v>
      </c>
      <c r="F95" s="8" cm="1">
        <f t="array" ref="F95">OLLAMA("Create a rating from 0 to 10 for functionality from the following review (DO NOT add extra text. ONLY reply with a number): ", Table2[[#This Row],[Review]])+0</f>
        <v>10</v>
      </c>
      <c r="G95" s="8" cm="1">
        <f t="array" ref="G95">OLLAMA("Create a rating from 0 to 10 for stability from the following review (DO NOT add extra text. ONLY reply with a number): ", Table2[[#This Row],[Review]])+0</f>
        <v>10</v>
      </c>
      <c r="H95" s="8">
        <f>IF(Table2[[#This Row],[Speed]]&gt;=9, 100, IF(Table2[[#This Row],[Speed]]&lt;=6, -100, 0))</f>
        <v>100</v>
      </c>
      <c r="I95" s="8">
        <f>IF(Table2[[#This Row],[Functionality]]&gt;=9, 100, IF(Table2[[#This Row],[Functionality]]&lt;=6, -100, 0))</f>
        <v>100</v>
      </c>
      <c r="J95" s="8">
        <f>IF(Table2[[#This Row],[Stability]]&gt;=9, 100, IF(Table2[[#This Row],[Stability]]&lt;=6, -100, 0))</f>
        <v>100</v>
      </c>
    </row>
    <row r="96" spans="1:10" ht="44" x14ac:dyDescent="0.25">
      <c r="A96" s="7" t="str">
        <f>TEXT(Table2[[#This Row],[Date]], "YYYY-MM")</f>
        <v>2026-11</v>
      </c>
      <c r="B96" s="7">
        <v>46340</v>
      </c>
      <c r="C96" s="6" t="s">
        <v>13</v>
      </c>
      <c r="D96" s="10" t="s">
        <v>123</v>
      </c>
      <c r="E96" s="8" cm="1">
        <f t="array" ref="E96">OLLAMA("Create a rating from 0 to 10 for speed from the following review (DO NOT add extra text. ONLY reply with a number): ", Table2[[#This Row],[Review]])+0</f>
        <v>5</v>
      </c>
      <c r="F96" s="8" cm="1">
        <f t="array" ref="F96">OLLAMA("Create a rating from 0 to 10 for functionality from the following review (DO NOT add extra text. ONLY reply with a number): ", Table2[[#This Row],[Review]])+0</f>
        <v>6</v>
      </c>
      <c r="G96" s="8" cm="1">
        <f t="array" ref="G96">OLLAMA("Create a rating from 0 to 10 for stability from the following review (DO NOT add extra text. ONLY reply with a number): ", Table2[[#This Row],[Review]])+0</f>
        <v>8</v>
      </c>
      <c r="H96" s="8">
        <f>IF(Table2[[#This Row],[Speed]]&gt;=9, 100, IF(Table2[[#This Row],[Speed]]&lt;=6, -100, 0))</f>
        <v>-100</v>
      </c>
      <c r="I96" s="8">
        <f>IF(Table2[[#This Row],[Functionality]]&gt;=9, 100, IF(Table2[[#This Row],[Functionality]]&lt;=6, -100, 0))</f>
        <v>-100</v>
      </c>
      <c r="J96" s="8">
        <f>IF(Table2[[#This Row],[Stability]]&gt;=9, 100, IF(Table2[[#This Row],[Stability]]&lt;=6, -100, 0))</f>
        <v>0</v>
      </c>
    </row>
    <row r="97" spans="1:10" ht="66" x14ac:dyDescent="0.25">
      <c r="A97" s="7" t="str">
        <f>TEXT(Table2[[#This Row],[Date]], "YYYY-MM")</f>
        <v>2026-11</v>
      </c>
      <c r="B97" s="7">
        <v>46347</v>
      </c>
      <c r="C97" s="6" t="s">
        <v>12</v>
      </c>
      <c r="D97" s="10" t="s">
        <v>115</v>
      </c>
      <c r="E97" s="8" cm="1">
        <f t="array" ref="E97">OLLAMA("Create a rating from 0 to 10 for speed from the following review (DO NOT add extra text. ONLY reply with a number): ", Table2[[#This Row],[Review]])+0</f>
        <v>9</v>
      </c>
      <c r="F97" s="8" cm="1">
        <f t="array" ref="F97">OLLAMA("Create a rating from 0 to 10 for functionality from the following review (DO NOT add extra text. ONLY reply with a number): ", Table2[[#This Row],[Review]])+0</f>
        <v>10</v>
      </c>
      <c r="G97" s="8" cm="1">
        <f t="array" ref="G97">OLLAMA("Create a rating from 0 to 10 for stability from the following review (DO NOT add extra text. ONLY reply with a number): ", Table2[[#This Row],[Review]])+0</f>
        <v>9</v>
      </c>
      <c r="H97" s="8">
        <f>IF(Table2[[#This Row],[Speed]]&gt;=9, 100, IF(Table2[[#This Row],[Speed]]&lt;=6, -100, 0))</f>
        <v>100</v>
      </c>
      <c r="I97" s="8">
        <f>IF(Table2[[#This Row],[Functionality]]&gt;=9, 100, IF(Table2[[#This Row],[Functionality]]&lt;=6, -100, 0))</f>
        <v>100</v>
      </c>
      <c r="J97" s="8">
        <f>IF(Table2[[#This Row],[Stability]]&gt;=9, 100, IF(Table2[[#This Row],[Stability]]&lt;=6, -100, 0))</f>
        <v>100</v>
      </c>
    </row>
    <row r="98" spans="1:10" ht="66" x14ac:dyDescent="0.25">
      <c r="A98" s="7" t="str">
        <f>TEXT(Table2[[#This Row],[Date]], "YYYY-MM")</f>
        <v>2026-11</v>
      </c>
      <c r="B98" s="7">
        <v>46354</v>
      </c>
      <c r="C98" s="6" t="s">
        <v>14</v>
      </c>
      <c r="D98" s="10" t="s">
        <v>116</v>
      </c>
      <c r="E98" s="8" cm="1">
        <f t="array" ref="E98">OLLAMA("Create a rating from 0 to 10 for speed from the following review (DO NOT add extra text. ONLY reply with a number): ", Table2[[#This Row],[Review]])+0</f>
        <v>9</v>
      </c>
      <c r="F98" s="8" cm="1">
        <f t="array" ref="F98">OLLAMA("Create a rating from 0 to 10 for functionality from the following review (DO NOT add extra text. ONLY reply with a number): ", Table2[[#This Row],[Review]])+0</f>
        <v>9</v>
      </c>
      <c r="G98" s="8" cm="1">
        <f t="array" ref="G98">OLLAMA("Create a rating from 0 to 10 for stability from the following review (DO NOT add extra text. ONLY reply with a number): ", Table2[[#This Row],[Review]])+0</f>
        <v>9</v>
      </c>
      <c r="H98" s="8">
        <f>IF(Table2[[#This Row],[Speed]]&gt;=9, 100, IF(Table2[[#This Row],[Speed]]&lt;=6, -100, 0))</f>
        <v>100</v>
      </c>
      <c r="I98" s="8">
        <f>IF(Table2[[#This Row],[Functionality]]&gt;=9, 100, IF(Table2[[#This Row],[Functionality]]&lt;=6, -100, 0))</f>
        <v>100</v>
      </c>
      <c r="J98" s="8">
        <f>IF(Table2[[#This Row],[Stability]]&gt;=9, 100, IF(Table2[[#This Row],[Stability]]&lt;=6, -100, 0))</f>
        <v>100</v>
      </c>
    </row>
    <row r="99" spans="1:10" ht="44" x14ac:dyDescent="0.25">
      <c r="A99" s="7" t="str">
        <f>TEXT(Table2[[#This Row],[Date]], "YYYY-MM")</f>
        <v>2026-12</v>
      </c>
      <c r="B99" s="7">
        <v>46361</v>
      </c>
      <c r="C99" s="6" t="s">
        <v>13</v>
      </c>
      <c r="D99" s="10" t="s">
        <v>147</v>
      </c>
      <c r="E99" s="8" cm="1">
        <f t="array" ref="E99">OLLAMA("Create a rating from 0 to 10 for speed from the following review (DO NOT add extra text. ONLY reply with a number): ", Table2[[#This Row],[Review]])+0</f>
        <v>4</v>
      </c>
      <c r="F99" s="8" cm="1">
        <f t="array" ref="F99">OLLAMA("Create a rating from 0 to 10 for functionality from the following review (DO NOT add extra text. ONLY reply with a number): ", Table2[[#This Row],[Review]])+0</f>
        <v>6</v>
      </c>
      <c r="G99" s="8" cm="1">
        <f t="array" ref="G99">OLLAMA("Create a rating from 0 to 10 for stability from the following review (DO NOT add extra text. ONLY reply with a number): ", Table2[[#This Row],[Review]])+0</f>
        <v>7</v>
      </c>
      <c r="H99" s="8">
        <f>IF(Table2[[#This Row],[Speed]]&gt;=9, 100, IF(Table2[[#This Row],[Speed]]&lt;=6, -100, 0))</f>
        <v>-100</v>
      </c>
      <c r="I99" s="8">
        <f>IF(Table2[[#This Row],[Functionality]]&gt;=9, 100, IF(Table2[[#This Row],[Functionality]]&lt;=6, -100, 0))</f>
        <v>-100</v>
      </c>
      <c r="J99" s="8">
        <f>IF(Table2[[#This Row],[Stability]]&gt;=9, 100, IF(Table2[[#This Row],[Stability]]&lt;=6, -100, 0))</f>
        <v>0</v>
      </c>
    </row>
    <row r="100" spans="1:10" ht="66" x14ac:dyDescent="0.25">
      <c r="A100" s="7" t="str">
        <f>TEXT(Table2[[#This Row],[Date]], "YYYY-MM")</f>
        <v>2026-12</v>
      </c>
      <c r="B100" s="7">
        <v>46368</v>
      </c>
      <c r="C100" s="6" t="s">
        <v>12</v>
      </c>
      <c r="D100" s="10" t="s">
        <v>117</v>
      </c>
      <c r="E100" s="8" cm="1">
        <f t="array" ref="E100">OLLAMA("Create a rating from 0 to 10 for speed from the following review (DO NOT add extra text. ONLY reply with a number): ", Table2[[#This Row],[Review]])+0</f>
        <v>9</v>
      </c>
      <c r="F100" s="8" cm="1">
        <f t="array" ref="F100">OLLAMA("Create a rating from 0 to 10 for functionality from the following review (DO NOT add extra text. ONLY reply with a number): ", Table2[[#This Row],[Review]])+0</f>
        <v>9</v>
      </c>
      <c r="G100" s="8" cm="1">
        <f t="array" ref="G100">OLLAMA("Create a rating from 0 to 10 for stability from the following review (DO NOT add extra text. ONLY reply with a number): ", Table2[[#This Row],[Review]])+0</f>
        <v>10</v>
      </c>
      <c r="H100" s="8">
        <f>IF(Table2[[#This Row],[Speed]]&gt;=9, 100, IF(Table2[[#This Row],[Speed]]&lt;=6, -100, 0))</f>
        <v>100</v>
      </c>
      <c r="I100" s="8">
        <f>IF(Table2[[#This Row],[Functionality]]&gt;=9, 100, IF(Table2[[#This Row],[Functionality]]&lt;=6, -100, 0))</f>
        <v>100</v>
      </c>
      <c r="J100" s="8">
        <f>IF(Table2[[#This Row],[Stability]]&gt;=9, 100, IF(Table2[[#This Row],[Stability]]&lt;=6, -100, 0))</f>
        <v>100</v>
      </c>
    </row>
    <row r="101" spans="1:10" ht="66" x14ac:dyDescent="0.25">
      <c r="A101" s="7" t="str">
        <f>TEXT(Table2[[#This Row],[Date]], "YYYY-MM")</f>
        <v>2026-12</v>
      </c>
      <c r="B101" s="7">
        <v>46375</v>
      </c>
      <c r="C101" s="6" t="s">
        <v>14</v>
      </c>
      <c r="D101" s="10" t="s">
        <v>118</v>
      </c>
      <c r="E101" s="8" cm="1">
        <f t="array" ref="E101">OLLAMA("Create a rating from 0 to 10 for speed from the following review (DO NOT add extra text. ONLY reply with a number): ", Table2[[#This Row],[Review]])+0</f>
        <v>9</v>
      </c>
      <c r="F101" s="8" cm="1">
        <f t="array" ref="F101">OLLAMA("Create a rating from 0 to 10 for functionality from the following review (DO NOT add extra text. ONLY reply with a number): ", Table2[[#This Row],[Review]])+0</f>
        <v>10</v>
      </c>
      <c r="G101" s="8" cm="1">
        <f t="array" ref="G101">OLLAMA("Create a rating from 0 to 10 for stability from the following review (DO NOT add extra text. ONLY reply with a number): ", Table2[[#This Row],[Review]])+0</f>
        <v>10</v>
      </c>
      <c r="H101" s="8">
        <f>IF(Table2[[#This Row],[Speed]]&gt;=9, 100, IF(Table2[[#This Row],[Speed]]&lt;=6, -100, 0))</f>
        <v>100</v>
      </c>
      <c r="I101" s="8">
        <f>IF(Table2[[#This Row],[Functionality]]&gt;=9, 100, IF(Table2[[#This Row],[Functionality]]&lt;=6, -100, 0))</f>
        <v>100</v>
      </c>
      <c r="J101" s="8">
        <f>IF(Table2[[#This Row],[Stability]]&gt;=9, 100, IF(Table2[[#This Row],[Stability]]&lt;=6, -100, 0))</f>
        <v>100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B6A00B-8201-A643-9C98-B6185D7C495B}">
  <sheetPr codeName="Sheet7"/>
  <dimension ref="A1"/>
  <sheetViews>
    <sheetView showGridLines="0" showRowColHeaders="0" workbookViewId="0">
      <selection activeCell="I29" sqref="I29"/>
      <extLst>
        <ext xmlns:xlsdti="http://schemas.microsoft.com/office/spreadsheetml/2023/showDataTypeIcons" uri="{77bfe23e-c014-4d31-8a63-9c772dbf06b6}">
          <xlsdti:showDataTypeIcons visible="0"/>
        </ext>
      </extLst>
    </sheetView>
  </sheetViews>
  <sheetFormatPr baseColWidth="10" defaultRowHeight="15" x14ac:dyDescent="0.2"/>
  <sheetData/>
  <sheetProtection pivotTables="0"/>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6D1902-E1E5-FC4A-9C1E-E55E20F84FC2}">
  <sheetPr codeName="Sheet8"/>
  <dimension ref="A1:A53"/>
  <sheetViews>
    <sheetView zoomScale="150" zoomScaleNormal="150" workbookViewId="0"/>
  </sheetViews>
  <sheetFormatPr baseColWidth="10" defaultColWidth="8.83203125" defaultRowHeight="15" x14ac:dyDescent="0.2"/>
  <cols>
    <col min="1" max="1" width="100" customWidth="1"/>
  </cols>
  <sheetData>
    <row r="1" spans="1:1" ht="25" x14ac:dyDescent="0.2">
      <c r="A1" s="17" t="s">
        <v>172</v>
      </c>
    </row>
    <row r="3" spans="1:1" ht="96" x14ac:dyDescent="0.2">
      <c r="A3" s="14" t="s">
        <v>179</v>
      </c>
    </row>
    <row r="5" spans="1:1" ht="20" x14ac:dyDescent="0.2">
      <c r="A5" s="13" t="s">
        <v>139</v>
      </c>
    </row>
    <row r="7" spans="1:1" ht="16" x14ac:dyDescent="0.2">
      <c r="A7" s="12" t="s">
        <v>171</v>
      </c>
    </row>
    <row r="8" spans="1:1" ht="16" x14ac:dyDescent="0.2">
      <c r="A8" s="12" t="s">
        <v>170</v>
      </c>
    </row>
    <row r="9" spans="1:1" ht="16" x14ac:dyDescent="0.2">
      <c r="A9" s="12" t="s">
        <v>169</v>
      </c>
    </row>
    <row r="10" spans="1:1" ht="16" x14ac:dyDescent="0.2">
      <c r="A10" s="12" t="s">
        <v>168</v>
      </c>
    </row>
    <row r="11" spans="1:1" ht="16" x14ac:dyDescent="0.2">
      <c r="A11" s="12" t="s">
        <v>167</v>
      </c>
    </row>
    <row r="12" spans="1:1" ht="16" x14ac:dyDescent="0.2">
      <c r="A12" s="12" t="s">
        <v>166</v>
      </c>
    </row>
    <row r="14" spans="1:1" ht="20" x14ac:dyDescent="0.2">
      <c r="A14" s="13" t="s">
        <v>165</v>
      </c>
    </row>
    <row r="16" spans="1:1" ht="17" x14ac:dyDescent="0.2">
      <c r="A16" s="15" t="s">
        <v>164</v>
      </c>
    </row>
    <row r="17" spans="1:1" ht="16" x14ac:dyDescent="0.2">
      <c r="A17" s="14" t="s">
        <v>163</v>
      </c>
    </row>
    <row r="19" spans="1:1" ht="16" x14ac:dyDescent="0.2">
      <c r="A19" s="12" t="s">
        <v>162</v>
      </c>
    </row>
    <row r="20" spans="1:1" ht="16" x14ac:dyDescent="0.2">
      <c r="A20" s="16" t="s">
        <v>161</v>
      </c>
    </row>
    <row r="21" spans="1:1" ht="16" x14ac:dyDescent="0.2">
      <c r="A21" s="16" t="s">
        <v>160</v>
      </c>
    </row>
    <row r="22" spans="1:1" ht="16" x14ac:dyDescent="0.2">
      <c r="A22" s="16" t="s">
        <v>159</v>
      </c>
    </row>
    <row r="24" spans="1:1" ht="16" x14ac:dyDescent="0.2">
      <c r="A24" s="12" t="s">
        <v>173</v>
      </c>
    </row>
    <row r="25" spans="1:1" ht="16" x14ac:dyDescent="0.2">
      <c r="A25" s="16" t="str">
        <f>OLLAMA("Summarize this in 3 words", A1:A10)</f>
        <v>Excel AI Integration</v>
      </c>
    </row>
    <row r="26" spans="1:1" ht="16" x14ac:dyDescent="0.2">
      <c r="A26" s="16" t="str">
        <f>OLLAMA("What is the capital of France?")</f>
        <v>The capital of France is Paris.</v>
      </c>
    </row>
    <row r="27" spans="1:1" ht="409.6" x14ac:dyDescent="0.2">
      <c r="A27" s="16" t="str">
        <f>OLLAMA("Explain quantum computing", , "llama2")</f>
        <v xml:space="preserve">
_x000D_Quantum computing is a new and emerging field that combines two major areas of science: quantum mechanics and computing. Quantum mechanics is the branch of physics that describes the behavior of matter and energy at the atomic and subatomic level, while computing refers to the processing of information using machines. Quantum computing leverages the unique properties of quantum systems to perform calculations and operations that are beyond the capabilities of classical computers.
_x000D_
_x000D_In a classical computer, information is processed using bits, which can have a value of either 0 or 1. However, in a quantum computer, information is processed using qubits, which can exist in multiple states simultaneously (superposition). This property allows quantum computers to perform certain calculations much faster than classical computers, especially when dealing with large amounts of data.
_x000D_
_x000D_Quantum computing has several key features that make it different from classical computing:
_x000D_
_x000D_1. Quantum parallelism: Quantum computers can perform many calculations simultaneously, thanks to the ability of qubits to exist in a superposition of states. This allows quantum computers to solve complex problems much faster than classical computers.
_x000D_2. Quantum interference: Quantum computers can use quantum interference to detect and correct errors that occur during the computation process. This property makes quantum computers more robust and reliable than classical computers.
_x000D_3. Quantum entanglement: Quantum computers can use entangled qubits to perform calculations that are beyond the capabilities of classical computers. Entangled qubits are particles that are connected in such a way that their states are correlated, regardless of the distance between them.
_x000D_4. Quantum teleportation: Quantum computers can use quantum teleportation to transfer information from one location to another without physical movement. This property makes quantum computing particularly useful for distributed computing applications.
_x000D_
_x000D_Quantum computing has many potential applications, including:
_x000D_
_x000D_1. Cryptography: Quantum computers can break many classical encryption algorithms, but they can also be used to create new, quantum-resistant encryption methods.
_x000D_2. Optimization: Quantum computers can solve certain optimization problems much faster than classical computers, which has implications for fields such as logistics and finance.
_x000D_3. Machine learning: Quantum computers can perform machine learning tasks more efficiently than classical computers, particularly in cases where the data is too large to fit into the memory of a classical computer.
_x000D_4. Simulation: Quantum computers can simulate complex quantum systems much better than classical computers, which has implications for fields such as chemistry and materials science.
_x000D_5. Drug discovery: Quantum computers can perform simulations of protein folding and drug interactions more efficiently than classical computers, which could lead to new discoveries in the field of drug development.
_x000D_
_x000D_While quantum computing is still in its early stages, it has the potential to revolutionize many fields of study and industry. However, it also poses significant challenges, such as the need for high-quality qubits and the development of practical algorithms for solving real-world problems.</v>
      </c>
    </row>
    <row r="28" spans="1:1" ht="16" x14ac:dyDescent="0.2">
      <c r="A28" s="16" t="str">
        <f>OLLAMA("Translate to Spanish: Hello", A1, "mistral")</f>
        <v>Is Ollama installed and running mistral? https://ollama.com. Error: 404 - {"error":"model 'mistral' not found"}</v>
      </c>
    </row>
    <row r="30" spans="1:1" ht="17" x14ac:dyDescent="0.2">
      <c r="A30" s="15" t="s">
        <v>158</v>
      </c>
    </row>
    <row r="31" spans="1:1" ht="16" x14ac:dyDescent="0.2">
      <c r="A31" s="14" t="s">
        <v>157</v>
      </c>
    </row>
    <row r="33" spans="1:1" ht="20" x14ac:dyDescent="0.2">
      <c r="A33" s="13" t="s">
        <v>156</v>
      </c>
    </row>
    <row r="35" spans="1:1" ht="16" x14ac:dyDescent="0.2">
      <c r="A35" s="12" t="s">
        <v>155</v>
      </c>
    </row>
    <row r="36" spans="1:1" ht="16" x14ac:dyDescent="0.2">
      <c r="A36" s="12" t="s">
        <v>154</v>
      </c>
    </row>
    <row r="37" spans="1:1" ht="16" x14ac:dyDescent="0.2">
      <c r="A37" s="12" t="s">
        <v>181</v>
      </c>
    </row>
    <row r="39" spans="1:1" ht="20" x14ac:dyDescent="0.2">
      <c r="A39" s="13" t="s">
        <v>153</v>
      </c>
    </row>
    <row r="41" spans="1:1" ht="16" x14ac:dyDescent="0.2">
      <c r="A41" s="12" t="s">
        <v>152</v>
      </c>
    </row>
    <row r="42" spans="1:1" ht="16" x14ac:dyDescent="0.2">
      <c r="A42" s="12" t="s">
        <v>174</v>
      </c>
    </row>
    <row r="43" spans="1:1" ht="32" x14ac:dyDescent="0.2">
      <c r="A43" s="12" t="s">
        <v>175</v>
      </c>
    </row>
    <row r="44" spans="1:1" ht="16" x14ac:dyDescent="0.2">
      <c r="A44" s="12" t="s">
        <v>176</v>
      </c>
    </row>
    <row r="45" spans="1:1" ht="16" x14ac:dyDescent="0.2">
      <c r="A45" s="12" t="s">
        <v>177</v>
      </c>
    </row>
    <row r="46" spans="1:1" ht="16" x14ac:dyDescent="0.2">
      <c r="A46" s="12" t="s">
        <v>178</v>
      </c>
    </row>
    <row r="48" spans="1:1" ht="20" x14ac:dyDescent="0.2">
      <c r="A48" s="13" t="s">
        <v>151</v>
      </c>
    </row>
    <row r="50" spans="1:1" ht="16" x14ac:dyDescent="0.2">
      <c r="A50" s="12" t="s">
        <v>150</v>
      </c>
    </row>
    <row r="51" spans="1:1" ht="32" x14ac:dyDescent="0.2">
      <c r="A51" s="12" t="s">
        <v>180</v>
      </c>
    </row>
    <row r="52" spans="1:1" ht="16" x14ac:dyDescent="0.2">
      <c r="A52" s="12" t="s">
        <v>149</v>
      </c>
    </row>
    <row r="53" spans="1:1" ht="16" x14ac:dyDescent="0.2">
      <c r="A53" s="12" t="s">
        <v>148</v>
      </c>
    </row>
  </sheetData>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D23B78-F397-4A45-B458-3187C1349828}">
  <sheetPr codeName="Sheet4"/>
  <dimension ref="A3:B16"/>
  <sheetViews>
    <sheetView zoomScale="125" zoomScaleNormal="125" workbookViewId="0">
      <selection activeCell="B7" sqref="B7"/>
    </sheetView>
  </sheetViews>
  <sheetFormatPr baseColWidth="10" defaultRowHeight="15" x14ac:dyDescent="0.2"/>
  <cols>
    <col min="1" max="1" width="11.83203125" bestFit="1" customWidth="1"/>
    <col min="2" max="2" width="12.6640625" bestFit="1" customWidth="1"/>
    <col min="3" max="3" width="11.1640625" bestFit="1" customWidth="1"/>
    <col min="4" max="5" width="12.6640625" bestFit="1" customWidth="1"/>
    <col min="6" max="6" width="17" bestFit="1" customWidth="1"/>
    <col min="7" max="7" width="14.5" bestFit="1" customWidth="1"/>
    <col min="8" max="8" width="21.1640625" bestFit="1" customWidth="1"/>
    <col min="9" max="9" width="18.83203125" bestFit="1" customWidth="1"/>
  </cols>
  <sheetData>
    <row r="3" spans="1:2" x14ac:dyDescent="0.2">
      <c r="A3" s="4" t="s">
        <v>122</v>
      </c>
      <c r="B3" t="s">
        <v>122</v>
      </c>
    </row>
    <row r="4" spans="1:2" x14ac:dyDescent="0.2">
      <c r="A4" s="5" t="s">
        <v>19</v>
      </c>
      <c r="B4">
        <v>-100</v>
      </c>
    </row>
    <row r="5" spans="1:2" x14ac:dyDescent="0.2">
      <c r="A5" s="5" t="s">
        <v>20</v>
      </c>
      <c r="B5">
        <v>-100</v>
      </c>
    </row>
    <row r="6" spans="1:2" x14ac:dyDescent="0.2">
      <c r="A6" s="5" t="s">
        <v>21</v>
      </c>
      <c r="B6">
        <v>-77.777777777777771</v>
      </c>
    </row>
    <row r="7" spans="1:2" x14ac:dyDescent="0.2">
      <c r="A7" s="5" t="s">
        <v>22</v>
      </c>
      <c r="B7">
        <v>-12.5</v>
      </c>
    </row>
    <row r="8" spans="1:2" x14ac:dyDescent="0.2">
      <c r="A8" s="5" t="s">
        <v>23</v>
      </c>
      <c r="B8">
        <v>0</v>
      </c>
    </row>
    <row r="9" spans="1:2" x14ac:dyDescent="0.2">
      <c r="A9" s="5" t="s">
        <v>24</v>
      </c>
      <c r="B9">
        <v>50</v>
      </c>
    </row>
    <row r="10" spans="1:2" x14ac:dyDescent="0.2">
      <c r="A10" s="5" t="s">
        <v>25</v>
      </c>
      <c r="B10">
        <v>50</v>
      </c>
    </row>
    <row r="11" spans="1:2" x14ac:dyDescent="0.2">
      <c r="A11" s="5" t="s">
        <v>26</v>
      </c>
      <c r="B11">
        <v>20</v>
      </c>
    </row>
    <row r="12" spans="1:2" x14ac:dyDescent="0.2">
      <c r="A12" s="5" t="s">
        <v>27</v>
      </c>
      <c r="B12">
        <v>50</v>
      </c>
    </row>
    <row r="13" spans="1:2" x14ac:dyDescent="0.2">
      <c r="A13" s="5" t="s">
        <v>28</v>
      </c>
      <c r="B13">
        <v>33.333333333333336</v>
      </c>
    </row>
    <row r="14" spans="1:2" x14ac:dyDescent="0.2">
      <c r="A14" s="5" t="s">
        <v>29</v>
      </c>
      <c r="B14">
        <v>33.333333333333336</v>
      </c>
    </row>
    <row r="15" spans="1:2" x14ac:dyDescent="0.2">
      <c r="A15" s="5" t="s">
        <v>30</v>
      </c>
      <c r="B15">
        <v>60</v>
      </c>
    </row>
    <row r="16" spans="1:2" x14ac:dyDescent="0.2">
      <c r="A16" s="5" t="s">
        <v>18</v>
      </c>
      <c r="B16">
        <v>-1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3AE6B-A31E-F541-8B74-528937AC0947}">
  <sheetPr codeName="Sheet5"/>
  <dimension ref="A3:B16"/>
  <sheetViews>
    <sheetView zoomScale="125" zoomScaleNormal="125" workbookViewId="0">
      <selection activeCell="E21" sqref="E21"/>
    </sheetView>
  </sheetViews>
  <sheetFormatPr baseColWidth="10" defaultRowHeight="15" x14ac:dyDescent="0.2"/>
  <cols>
    <col min="1" max="1" width="17.1640625" bestFit="1" customWidth="1"/>
    <col min="2" max="2" width="14.6640625" bestFit="1" customWidth="1"/>
    <col min="3" max="5" width="12.6640625" bestFit="1" customWidth="1"/>
    <col min="6" max="6" width="17" bestFit="1" customWidth="1"/>
    <col min="7" max="7" width="14.5" bestFit="1" customWidth="1"/>
    <col min="8" max="8" width="21.1640625" bestFit="1" customWidth="1"/>
    <col min="9" max="9" width="18.83203125" bestFit="1" customWidth="1"/>
  </cols>
  <sheetData>
    <row r="3" spans="1:2" x14ac:dyDescent="0.2">
      <c r="A3" s="4" t="s">
        <v>33</v>
      </c>
      <c r="B3" t="s">
        <v>33</v>
      </c>
    </row>
    <row r="4" spans="1:2" x14ac:dyDescent="0.2">
      <c r="A4" s="5" t="s">
        <v>19</v>
      </c>
      <c r="B4">
        <v>-100</v>
      </c>
    </row>
    <row r="5" spans="1:2" x14ac:dyDescent="0.2">
      <c r="A5" s="5" t="s">
        <v>20</v>
      </c>
      <c r="B5">
        <v>-100</v>
      </c>
    </row>
    <row r="6" spans="1:2" x14ac:dyDescent="0.2">
      <c r="A6" s="5" t="s">
        <v>21</v>
      </c>
      <c r="B6">
        <v>-88.888888888888886</v>
      </c>
    </row>
    <row r="7" spans="1:2" x14ac:dyDescent="0.2">
      <c r="A7" s="5" t="s">
        <v>22</v>
      </c>
      <c r="B7">
        <v>-12.5</v>
      </c>
    </row>
    <row r="8" spans="1:2" x14ac:dyDescent="0.2">
      <c r="A8" s="5" t="s">
        <v>23</v>
      </c>
      <c r="B8">
        <v>10</v>
      </c>
    </row>
    <row r="9" spans="1:2" x14ac:dyDescent="0.2">
      <c r="A9" s="5" t="s">
        <v>24</v>
      </c>
      <c r="B9">
        <v>62.5</v>
      </c>
    </row>
    <row r="10" spans="1:2" x14ac:dyDescent="0.2">
      <c r="A10" s="5" t="s">
        <v>25</v>
      </c>
      <c r="B10">
        <v>62.5</v>
      </c>
    </row>
    <row r="11" spans="1:2" x14ac:dyDescent="0.2">
      <c r="A11" s="5" t="s">
        <v>26</v>
      </c>
      <c r="B11">
        <v>40</v>
      </c>
    </row>
    <row r="12" spans="1:2" x14ac:dyDescent="0.2">
      <c r="A12" s="5" t="s">
        <v>27</v>
      </c>
      <c r="B12">
        <v>75</v>
      </c>
    </row>
    <row r="13" spans="1:2" x14ac:dyDescent="0.2">
      <c r="A13" s="5" t="s">
        <v>28</v>
      </c>
      <c r="B13">
        <v>55.555555555555557</v>
      </c>
    </row>
    <row r="14" spans="1:2" x14ac:dyDescent="0.2">
      <c r="A14" s="5" t="s">
        <v>29</v>
      </c>
      <c r="B14">
        <v>66.666666666666671</v>
      </c>
    </row>
    <row r="15" spans="1:2" x14ac:dyDescent="0.2">
      <c r="A15" s="5" t="s">
        <v>30</v>
      </c>
      <c r="B15">
        <v>60</v>
      </c>
    </row>
    <row r="16" spans="1:2" x14ac:dyDescent="0.2">
      <c r="A16" s="5" t="s">
        <v>18</v>
      </c>
      <c r="B16">
        <v>10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22968-6B1E-4941-891B-F10F0CE7C809}">
  <sheetPr codeName="Sheet6"/>
  <dimension ref="A3:B16"/>
  <sheetViews>
    <sheetView zoomScale="125" zoomScaleNormal="125" workbookViewId="0">
      <selection activeCell="A4" sqref="A4"/>
    </sheetView>
  </sheetViews>
  <sheetFormatPr baseColWidth="10" defaultRowHeight="15" x14ac:dyDescent="0.2"/>
  <cols>
    <col min="1" max="1" width="13.33203125" bestFit="1" customWidth="1"/>
    <col min="2" max="2" width="12.6640625" bestFit="1" customWidth="1"/>
    <col min="3" max="3" width="12.1640625" bestFit="1" customWidth="1"/>
    <col min="4" max="5" width="12.6640625" bestFit="1" customWidth="1"/>
    <col min="6" max="6" width="17" bestFit="1" customWidth="1"/>
    <col min="7" max="7" width="14.5" bestFit="1" customWidth="1"/>
    <col min="8" max="8" width="21.1640625" bestFit="1" customWidth="1"/>
    <col min="9" max="9" width="18.83203125" bestFit="1" customWidth="1"/>
  </cols>
  <sheetData>
    <row r="3" spans="1:2" x14ac:dyDescent="0.2">
      <c r="A3" s="4" t="s">
        <v>34</v>
      </c>
      <c r="B3" t="s">
        <v>34</v>
      </c>
    </row>
    <row r="4" spans="1:2" x14ac:dyDescent="0.2">
      <c r="A4" s="5" t="s">
        <v>19</v>
      </c>
      <c r="B4">
        <v>-100</v>
      </c>
    </row>
    <row r="5" spans="1:2" x14ac:dyDescent="0.2">
      <c r="A5" s="5" t="s">
        <v>20</v>
      </c>
      <c r="B5">
        <v>-100</v>
      </c>
    </row>
    <row r="6" spans="1:2" x14ac:dyDescent="0.2">
      <c r="A6" s="5" t="s">
        <v>21</v>
      </c>
      <c r="B6">
        <v>-77.777777777777771</v>
      </c>
    </row>
    <row r="7" spans="1:2" x14ac:dyDescent="0.2">
      <c r="A7" s="5" t="s">
        <v>22</v>
      </c>
      <c r="B7">
        <v>0</v>
      </c>
    </row>
    <row r="8" spans="1:2" x14ac:dyDescent="0.2">
      <c r="A8" s="5" t="s">
        <v>23</v>
      </c>
      <c r="B8">
        <v>10</v>
      </c>
    </row>
    <row r="9" spans="1:2" x14ac:dyDescent="0.2">
      <c r="A9" s="5" t="s">
        <v>24</v>
      </c>
      <c r="B9">
        <v>62.5</v>
      </c>
    </row>
    <row r="10" spans="1:2" x14ac:dyDescent="0.2">
      <c r="A10" s="5" t="s">
        <v>25</v>
      </c>
      <c r="B10">
        <v>75</v>
      </c>
    </row>
    <row r="11" spans="1:2" x14ac:dyDescent="0.2">
      <c r="A11" s="5" t="s">
        <v>26</v>
      </c>
      <c r="B11">
        <v>60</v>
      </c>
    </row>
    <row r="12" spans="1:2" x14ac:dyDescent="0.2">
      <c r="A12" s="5" t="s">
        <v>27</v>
      </c>
      <c r="B12">
        <v>75</v>
      </c>
    </row>
    <row r="13" spans="1:2" x14ac:dyDescent="0.2">
      <c r="A13" s="5" t="s">
        <v>28</v>
      </c>
      <c r="B13">
        <v>55.555555555555557</v>
      </c>
    </row>
    <row r="14" spans="1:2" x14ac:dyDescent="0.2">
      <c r="A14" s="5" t="s">
        <v>29</v>
      </c>
      <c r="B14">
        <v>88.888888888888886</v>
      </c>
    </row>
    <row r="15" spans="1:2" x14ac:dyDescent="0.2">
      <c r="A15" s="5" t="s">
        <v>30</v>
      </c>
      <c r="B15">
        <v>80</v>
      </c>
    </row>
    <row r="16" spans="1:2" x14ac:dyDescent="0.2">
      <c r="A16" s="5" t="s">
        <v>18</v>
      </c>
      <c r="B16">
        <v>18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Sheet1</vt:lpstr>
      <vt:lpstr>Reviews</vt:lpstr>
      <vt:lpstr>App Reviews</vt:lpstr>
      <vt:lpstr>App Review Charts</vt:lpstr>
      <vt:lpstr>README</vt:lpstr>
      <vt:lpstr>Speed</vt:lpstr>
      <vt:lpstr>Functionality</vt:lpstr>
      <vt:lpstr>Stability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Hall</dc:creator>
  <cp:lastModifiedBy>David Griffiths</cp:lastModifiedBy>
  <dcterms:created xsi:type="dcterms:W3CDTF">2011-08-25T14:29:57Z</dcterms:created>
  <dcterms:modified xsi:type="dcterms:W3CDTF">2025-11-21T10:28:08Z</dcterms:modified>
</cp:coreProperties>
</file>