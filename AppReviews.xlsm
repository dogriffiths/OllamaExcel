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2DDDA415-E9D0-2444-8B1B-2EE026F7355B}"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5"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7" i="12"/>
  <c r="A28" i="12"/>
  <c r="A25" i="12"/>
  <c r="B2" i="2" a="1"/>
  <c r="B2" i="2" l="1"/>
  <c r="B3" i="2" a="1"/>
  <c r="B3" i="2" l="1"/>
  <c r="B5" i="2" a="1"/>
  <c r="B4"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21" i="3" a="1"/>
  <c r="E86" i="3" a="1"/>
  <c r="G12" i="3" a="1"/>
  <c r="E20" i="3" a="1"/>
  <c r="G9" i="3" a="1"/>
  <c r="F100" i="3" a="1"/>
  <c r="G80" i="3" a="1"/>
  <c r="F59" i="3" a="1"/>
  <c r="G46" i="3" a="1"/>
  <c r="F40" i="3" a="1"/>
  <c r="G14" i="3" a="1"/>
  <c r="F81" i="3" a="1"/>
  <c r="E84" i="3" a="1"/>
  <c r="F53" i="3" a="1"/>
  <c r="E37" i="3" a="1"/>
  <c r="F2" i="3" a="1"/>
  <c r="E63" i="3" a="1"/>
  <c r="F15" i="3" a="1"/>
  <c r="E23" i="3" a="1"/>
  <c r="F86" i="3" a="1"/>
  <c r="E65" i="3" a="1"/>
  <c r="G19" i="3" a="1"/>
  <c r="E91" i="3" a="1"/>
  <c r="G3" i="3" a="1"/>
  <c r="E80" i="3" a="1"/>
  <c r="E95" i="3" a="1"/>
  <c r="E92" i="3" a="1"/>
  <c r="G22" i="3" a="1"/>
  <c r="G89" i="3" a="1"/>
  <c r="F73" i="3" a="1"/>
  <c r="G82" i="3" a="1"/>
  <c r="G86" i="3" a="1"/>
  <c r="F77" i="3" a="1"/>
  <c r="G11" i="3" a="1"/>
  <c r="F85" i="3" a="1"/>
  <c r="F74" i="3" a="1"/>
  <c r="E29" i="3" a="1"/>
  <c r="F10" i="3" a="1"/>
  <c r="E43" i="3" a="1"/>
  <c r="F12" i="3" a="1"/>
  <c r="F26" i="3" a="1"/>
  <c r="E93" i="3" a="1"/>
  <c r="G17" i="3" a="1"/>
  <c r="E77" i="3" a="1"/>
  <c r="E15" i="3" a="1"/>
  <c r="G59" i="3" a="1"/>
  <c r="G36" i="3" a="1"/>
  <c r="E26" i="3" a="1"/>
  <c r="F23" i="3" a="1"/>
  <c r="F16" i="3" a="1"/>
  <c r="F91" i="3" a="1"/>
  <c r="F93" i="3" a="1"/>
  <c r="F71" i="3" a="1"/>
  <c r="F24" i="3" a="1"/>
  <c r="F21" i="3" a="1"/>
  <c r="F98" i="3" a="1"/>
  <c r="G25" i="3" a="1"/>
  <c r="F43" i="3" a="1"/>
  <c r="F29" i="3" a="1"/>
  <c r="F9" i="3" a="1"/>
  <c r="F63" i="3" a="1"/>
  <c r="E61" i="3" a="1"/>
  <c r="E27" i="3" a="1"/>
  <c r="E25" i="3" a="1"/>
  <c r="G44" i="3" a="1"/>
  <c r="E24" i="3" a="1"/>
  <c r="G79" i="3" a="1"/>
  <c r="G73" i="3" a="1"/>
  <c r="G33" i="3" a="1"/>
  <c r="G66" i="3" a="1"/>
  <c r="G50" i="3" a="1"/>
  <c r="E51" i="3" a="1"/>
  <c r="F50" i="3" a="1"/>
  <c r="F79" i="3" a="1"/>
  <c r="F101" i="3" a="1"/>
  <c r="E89" i="3" a="1"/>
  <c r="F94" i="3" a="1"/>
  <c r="G6" i="3" a="1"/>
  <c r="G45" i="3" a="1"/>
  <c r="G31" i="3" a="1"/>
  <c r="E83" i="3" a="1"/>
  <c r="G88" i="3" a="1"/>
  <c r="G81" i="3" a="1"/>
  <c r="G35" i="3" a="1"/>
  <c r="G39" i="3" a="1"/>
  <c r="F25" i="3" a="1"/>
  <c r="F60" i="3" a="1"/>
  <c r="E64" i="3" a="1"/>
  <c r="E85" i="3" a="1"/>
  <c r="E18" i="3" a="1"/>
  <c r="G15" i="3" a="1"/>
  <c r="G7" i="3" a="1"/>
  <c r="G18" i="3" a="1"/>
  <c r="G20" i="3" a="1"/>
  <c r="E7" i="3" a="1"/>
  <c r="E55" i="3" a="1"/>
  <c r="G32" i="3" a="1"/>
  <c r="E35" i="3" a="1"/>
  <c r="E101" i="3" a="1"/>
  <c r="E9" i="3" a="1"/>
  <c r="F7" i="3" a="1"/>
  <c r="G92" i="3" a="1"/>
  <c r="G51" i="3" a="1"/>
  <c r="E82" i="3" a="1"/>
  <c r="F22" i="3" a="1"/>
  <c r="F48" i="3" a="1"/>
  <c r="E10" i="3" a="1"/>
  <c r="G64" i="3" a="1"/>
  <c r="E71" i="3" a="1"/>
  <c r="E75" i="3" a="1"/>
  <c r="E22" i="3" a="1"/>
  <c r="E38" i="3" a="1"/>
  <c r="F6" i="3" a="1"/>
  <c r="F87" i="3" a="1"/>
  <c r="F66" i="3" a="1"/>
  <c r="E99" i="3" a="1"/>
  <c r="G48" i="3" a="1"/>
  <c r="G100" i="3" a="1"/>
  <c r="F45" i="3" a="1"/>
  <c r="E30" i="3" a="1"/>
  <c r="G90" i="3" a="1"/>
  <c r="E94" i="3" a="1"/>
  <c r="G56" i="3" a="1"/>
  <c r="G4" i="3" a="1"/>
  <c r="F97" i="3" a="1"/>
  <c r="F36" i="3" a="1"/>
  <c r="G43" i="3" a="1"/>
  <c r="F38" i="3" a="1"/>
  <c r="E34" i="3" a="1"/>
  <c r="G61" i="3" a="1"/>
  <c r="E21" i="3" a="1"/>
  <c r="G57" i="3" a="1"/>
  <c r="E98" i="3" a="1"/>
  <c r="G34" i="3" a="1"/>
  <c r="G69" i="3" a="1"/>
  <c r="G27" i="3" a="1"/>
  <c r="F95" i="3" a="1"/>
  <c r="G38" i="3" a="1"/>
  <c r="F32" i="3" a="1"/>
  <c r="F42" i="3" a="1"/>
  <c r="F34" i="3" a="1"/>
  <c r="F76" i="3" a="1"/>
  <c r="E33" i="3" a="1"/>
  <c r="E41" i="3" a="1"/>
  <c r="F47" i="3" a="1"/>
  <c r="F4" i="3" a="1"/>
  <c r="F52" i="3" a="1"/>
  <c r="E12" i="3" a="1"/>
  <c r="E70" i="3" a="1"/>
  <c r="E60" i="3" a="1"/>
  <c r="E67" i="3" a="1"/>
  <c r="G70" i="3" a="1"/>
  <c r="G37" i="3" a="1"/>
  <c r="E56" i="3" a="1"/>
  <c r="F78" i="3" a="1"/>
  <c r="E6" i="3" a="1"/>
  <c r="E72" i="3" a="1"/>
  <c r="E39" i="3" a="1"/>
  <c r="E87" i="3" a="1"/>
  <c r="E44" i="3" a="1"/>
  <c r="G29" i="3" a="1"/>
  <c r="E5" i="3" a="1"/>
  <c r="G16" i="3" a="1"/>
  <c r="G55" i="3" a="1"/>
  <c r="F58" i="3" a="1"/>
  <c r="E36" i="3" a="1"/>
  <c r="F44" i="3" a="1"/>
  <c r="E52" i="3" a="1"/>
  <c r="G77" i="3" a="1"/>
  <c r="E42" i="3" a="1"/>
  <c r="G54" i="3" a="1"/>
  <c r="E32" i="3" a="1"/>
  <c r="G47" i="3" a="1"/>
  <c r="E68" i="3" a="1"/>
  <c r="G52" i="3" a="1"/>
  <c r="F61" i="3" a="1"/>
  <c r="G30" i="3" a="1"/>
  <c r="F3" i="3" a="1"/>
  <c r="G26" i="3" a="1"/>
  <c r="F99" i="3" a="1"/>
  <c r="F83" i="3" a="1"/>
  <c r="F33" i="3" a="1"/>
  <c r="E54" i="3" a="1"/>
  <c r="G75" i="3" a="1"/>
  <c r="G72" i="3" a="1"/>
  <c r="G98" i="3" a="1"/>
  <c r="G84" i="3" a="1"/>
  <c r="E4" i="3" a="1"/>
  <c r="F13" i="3" a="1"/>
  <c r="G95" i="3" a="1"/>
  <c r="G76" i="3" a="1"/>
  <c r="G93" i="3" a="1"/>
  <c r="E40" i="3" a="1"/>
  <c r="F39" i="3" a="1"/>
  <c r="G63" i="3" a="1"/>
  <c r="G67" i="3" a="1"/>
  <c r="F57" i="3" a="1"/>
  <c r="G97" i="3" a="1"/>
  <c r="G96" i="3" a="1"/>
  <c r="E78" i="3" a="1"/>
  <c r="F65" i="3" a="1"/>
  <c r="F28" i="3" a="1"/>
  <c r="F20" i="3" a="1"/>
  <c r="G60" i="3" a="1"/>
  <c r="G41" i="3" a="1"/>
  <c r="F84" i="3" a="1"/>
  <c r="F51" i="3" a="1"/>
  <c r="F88" i="3" a="1"/>
  <c r="F19" i="3" a="1"/>
  <c r="G68" i="3" a="1"/>
  <c r="F11" i="3" a="1"/>
  <c r="E97" i="3" a="1"/>
  <c r="F31" i="3" a="1"/>
  <c r="E16" i="3" a="1"/>
  <c r="F56" i="3" a="1"/>
  <c r="E58" i="3" a="1"/>
  <c r="G23" i="3" a="1"/>
  <c r="G62" i="3" a="1"/>
  <c r="F64" i="3" a="1"/>
  <c r="G53" i="3" a="1"/>
  <c r="F37" i="3" a="1"/>
  <c r="G2" i="3" a="1"/>
  <c r="F69" i="3" a="1"/>
  <c r="E48" i="3" a="1"/>
  <c r="F17" i="3" a="1"/>
  <c r="E90" i="3" a="1"/>
  <c r="F92" i="3" a="1"/>
  <c r="E3" i="3" a="1"/>
  <c r="F62" i="3" a="1"/>
  <c r="E100" i="3" a="1"/>
  <c r="G24" i="3" a="1"/>
  <c r="E96" i="3" a="1"/>
  <c r="G13" i="3" a="1"/>
  <c r="E50" i="3" a="1"/>
  <c r="F8" i="3" a="1"/>
  <c r="E69" i="3" a="1"/>
  <c r="G58" i="3" a="1"/>
  <c r="E17" i="3" a="1"/>
  <c r="G65" i="3" a="1"/>
  <c r="E2" i="3" a="1"/>
  <c r="G49" i="3" a="1"/>
  <c r="F46" i="3" a="1"/>
  <c r="G99" i="3" a="1"/>
  <c r="F72" i="3" a="1"/>
  <c r="G85" i="3" a="1"/>
  <c r="F82" i="3" a="1"/>
  <c r="G74" i="3" a="1"/>
  <c r="F41" i="3" a="1"/>
  <c r="F18" i="3" a="1"/>
  <c r="F49" i="3" a="1"/>
  <c r="E28" i="3" a="1"/>
  <c r="F30" i="3" a="1"/>
  <c r="E53" i="3" a="1"/>
  <c r="F35" i="3" a="1"/>
  <c r="E19" i="3" a="1"/>
  <c r="G5" i="3" a="1"/>
  <c r="E57" i="3" a="1"/>
  <c r="G28" i="3" a="1"/>
  <c r="E76" i="3" a="1"/>
  <c r="F80" i="3" a="1"/>
  <c r="E47" i="3" a="1"/>
  <c r="G78" i="3" a="1"/>
  <c r="E49" i="3" a="1"/>
  <c r="G91" i="3" a="1"/>
  <c r="E74" i="3" a="1"/>
  <c r="G87" i="3" a="1"/>
  <c r="F54" i="3" a="1"/>
  <c r="F75" i="3" a="1"/>
  <c r="E79" i="3" a="1"/>
  <c r="E46" i="3" a="1"/>
  <c r="E11" i="3" a="1"/>
  <c r="E13" i="3" a="1"/>
  <c r="E73" i="3" a="1"/>
  <c r="E81" i="3" a="1"/>
  <c r="E59" i="3" a="1"/>
  <c r="E8" i="3" a="1"/>
  <c r="F5" i="3" a="1"/>
  <c r="E88" i="3" a="1"/>
  <c r="E62" i="3" a="1"/>
  <c r="G101" i="3" a="1"/>
  <c r="E14" i="3" a="1"/>
  <c r="G10" i="3" a="1"/>
  <c r="F90" i="3" a="1"/>
  <c r="G71" i="3" a="1"/>
  <c r="F55" i="3" a="1"/>
  <c r="G8" i="3" a="1"/>
  <c r="E66" i="3" a="1"/>
  <c r="F27" i="3" a="1"/>
  <c r="F67" i="3" a="1"/>
  <c r="F68" i="3" a="1"/>
  <c r="G42" i="3" a="1"/>
  <c r="F89" i="3" a="1"/>
  <c r="F14" i="3" a="1"/>
  <c r="G94" i="3" a="1"/>
  <c r="G83" i="3" a="1"/>
  <c r="G40" i="3" a="1"/>
  <c r="F70" i="3" a="1"/>
  <c r="E45" i="3" a="1"/>
  <c r="E31" i="3" a="1"/>
  <c r="F96" i="3" a="1"/>
  <c r="D2" i="2" a="1"/>
  <c r="D3" i="2" a="1"/>
  <c r="D8" i="2" a="1"/>
  <c r="D4" i="2" a="1"/>
  <c r="C3" i="2" a="1"/>
  <c r="C8" i="2" a="1"/>
  <c r="C7" i="2" a="1"/>
  <c r="D7" i="2" a="1"/>
  <c r="D6" i="2" a="1"/>
  <c r="D5" i="2" a="1"/>
  <c r="C4" i="2" a="1"/>
  <c r="C2" i="2" a="1"/>
  <c r="C6" i="2" a="1"/>
  <c r="C5" i="2" a="1"/>
  <c r="G5" i="3" l="1"/>
  <c r="J5" i="3" s="1"/>
  <c r="G4" i="3"/>
  <c r="J4" i="3" s="1"/>
  <c r="G97" i="3"/>
  <c r="G79" i="3"/>
  <c r="J79" i="3" s="1"/>
  <c r="G61" i="3"/>
  <c r="J61" i="3" s="1"/>
  <c r="G43" i="3"/>
  <c r="J43" i="3" s="1"/>
  <c r="G25" i="3"/>
  <c r="J25" i="3" s="1"/>
  <c r="G19" i="3"/>
  <c r="J19" i="3" s="1"/>
  <c r="G96" i="3"/>
  <c r="J96" i="3" s="1"/>
  <c r="G78" i="3"/>
  <c r="J78" i="3" s="1"/>
  <c r="G60" i="3"/>
  <c r="J60" i="3" s="1"/>
  <c r="G42" i="3"/>
  <c r="J42" i="3" s="1"/>
  <c r="G24" i="3"/>
  <c r="J24" i="3" s="1"/>
  <c r="G6" i="3"/>
  <c r="J6" i="3" s="1"/>
  <c r="G95" i="3"/>
  <c r="G77" i="3"/>
  <c r="J77" i="3" s="1"/>
  <c r="G59" i="3"/>
  <c r="J59" i="3" s="1"/>
  <c r="G35" i="3"/>
  <c r="G17" i="3"/>
  <c r="J17" i="3" s="1"/>
  <c r="G94" i="3"/>
  <c r="J94" i="3" s="1"/>
  <c r="G76" i="3"/>
  <c r="J76" i="3" s="1"/>
  <c r="G58" i="3"/>
  <c r="J58" i="3" s="1"/>
  <c r="G40" i="3"/>
  <c r="J40" i="3" s="1"/>
  <c r="G28" i="3"/>
  <c r="J28" i="3" s="1"/>
  <c r="G16" i="3"/>
  <c r="G93" i="3"/>
  <c r="G75" i="3"/>
  <c r="G57" i="3"/>
  <c r="J57" i="3" s="1"/>
  <c r="G39" i="3"/>
  <c r="J39" i="3" s="1"/>
  <c r="G21" i="3"/>
  <c r="J21" i="3" s="1"/>
  <c r="G3" i="3"/>
  <c r="J3" i="3" s="1"/>
  <c r="G91" i="3"/>
  <c r="J91" i="3" s="1"/>
  <c r="G73" i="3"/>
  <c r="J73" i="3" s="1"/>
  <c r="G55" i="3"/>
  <c r="J55" i="3" s="1"/>
  <c r="G37" i="3"/>
  <c r="J37" i="3" s="1"/>
  <c r="G13" i="3"/>
  <c r="J13" i="3" s="1"/>
  <c r="G90" i="3"/>
  <c r="J90" i="3" s="1"/>
  <c r="G72" i="3"/>
  <c r="G54" i="3"/>
  <c r="G36" i="3"/>
  <c r="J36" i="3" s="1"/>
  <c r="G12" i="3"/>
  <c r="G101" i="3"/>
  <c r="J101" i="3" s="1"/>
  <c r="G83" i="3"/>
  <c r="J83" i="3" s="1"/>
  <c r="G65" i="3"/>
  <c r="J65" i="3" s="1"/>
  <c r="G47" i="3"/>
  <c r="J47" i="3" s="1"/>
  <c r="G29" i="3"/>
  <c r="J29" i="3" s="1"/>
  <c r="G11" i="3"/>
  <c r="J11" i="3" s="1"/>
  <c r="G88" i="3"/>
  <c r="J88" i="3" s="1"/>
  <c r="G70" i="3"/>
  <c r="G52" i="3"/>
  <c r="G34" i="3"/>
  <c r="G22" i="3"/>
  <c r="J22" i="3" s="1"/>
  <c r="G10" i="3"/>
  <c r="J10" i="3" s="1"/>
  <c r="G99" i="3"/>
  <c r="J99" i="3" s="1"/>
  <c r="G87" i="3"/>
  <c r="J87" i="3" s="1"/>
  <c r="G81" i="3"/>
  <c r="J81" i="3" s="1"/>
  <c r="G69" i="3"/>
  <c r="J69" i="3" s="1"/>
  <c r="G63" i="3"/>
  <c r="J63" i="3" s="1"/>
  <c r="G51" i="3"/>
  <c r="J51" i="3" s="1"/>
  <c r="G45" i="3"/>
  <c r="J45" i="3" s="1"/>
  <c r="G33" i="3"/>
  <c r="G27" i="3"/>
  <c r="G15" i="3"/>
  <c r="G9" i="3"/>
  <c r="G85" i="3"/>
  <c r="G67" i="3"/>
  <c r="J67" i="3" s="1"/>
  <c r="G49" i="3"/>
  <c r="J49" i="3" s="1"/>
  <c r="G31" i="3"/>
  <c r="J31" i="3" s="1"/>
  <c r="G7" i="3"/>
  <c r="J7" i="3" s="1"/>
  <c r="G84" i="3"/>
  <c r="J84" i="3" s="1"/>
  <c r="G66" i="3"/>
  <c r="J66" i="3" s="1"/>
  <c r="G48" i="3"/>
  <c r="J48" i="3" s="1"/>
  <c r="G30" i="3"/>
  <c r="J30" i="3" s="1"/>
  <c r="G18" i="3"/>
  <c r="G89" i="3"/>
  <c r="G71" i="3"/>
  <c r="J71" i="3" s="1"/>
  <c r="G53" i="3"/>
  <c r="G41" i="3"/>
  <c r="J41" i="3" s="1"/>
  <c r="G23" i="3"/>
  <c r="J23" i="3" s="1"/>
  <c r="G100" i="3"/>
  <c r="J100" i="3" s="1"/>
  <c r="G82" i="3"/>
  <c r="J82" i="3" s="1"/>
  <c r="G64" i="3"/>
  <c r="J64" i="3" s="1"/>
  <c r="G46" i="3"/>
  <c r="J46" i="3" s="1"/>
  <c r="G98" i="3"/>
  <c r="J98" i="3" s="1"/>
  <c r="G92" i="3"/>
  <c r="G86" i="3"/>
  <c r="G80" i="3"/>
  <c r="G74" i="3"/>
  <c r="J74" i="3" s="1"/>
  <c r="G68" i="3"/>
  <c r="J68" i="3" s="1"/>
  <c r="G62" i="3"/>
  <c r="J62" i="3" s="1"/>
  <c r="G56" i="3"/>
  <c r="J56" i="3" s="1"/>
  <c r="G50" i="3"/>
  <c r="J50" i="3" s="1"/>
  <c r="G44" i="3"/>
  <c r="J44" i="3" s="1"/>
  <c r="G38" i="3"/>
  <c r="J38" i="3" s="1"/>
  <c r="G32" i="3"/>
  <c r="J32" i="3" s="1"/>
  <c r="G26" i="3"/>
  <c r="J26" i="3" s="1"/>
  <c r="G20" i="3"/>
  <c r="G14" i="3"/>
  <c r="G8" i="3"/>
  <c r="G2" i="3"/>
  <c r="J2" i="3" s="1"/>
  <c r="F7" i="3"/>
  <c r="I7" i="3" s="1"/>
  <c r="F5" i="3"/>
  <c r="I5" i="3" s="1"/>
  <c r="F4" i="3"/>
  <c r="I4" i="3" s="1"/>
  <c r="F97" i="3"/>
  <c r="I97" i="3" s="1"/>
  <c r="F79" i="3"/>
  <c r="I79" i="3" s="1"/>
  <c r="F61" i="3"/>
  <c r="I61" i="3" s="1"/>
  <c r="F43" i="3"/>
  <c r="I43" i="3" s="1"/>
  <c r="F25" i="3"/>
  <c r="I25" i="3" s="1"/>
  <c r="F90" i="3"/>
  <c r="I90" i="3" s="1"/>
  <c r="F72" i="3"/>
  <c r="I72" i="3" s="1"/>
  <c r="F54" i="3"/>
  <c r="F36" i="3"/>
  <c r="I36" i="3" s="1"/>
  <c r="F18" i="3"/>
  <c r="I18" i="3" s="1"/>
  <c r="F101" i="3"/>
  <c r="I101" i="3" s="1"/>
  <c r="F83" i="3"/>
  <c r="I83" i="3" s="1"/>
  <c r="F65" i="3"/>
  <c r="I65" i="3" s="1"/>
  <c r="F47" i="3"/>
  <c r="I47" i="3" s="1"/>
  <c r="F29" i="3"/>
  <c r="I29" i="3" s="1"/>
  <c r="F23" i="3"/>
  <c r="I23" i="3" s="1"/>
  <c r="F100" i="3"/>
  <c r="I100" i="3" s="1"/>
  <c r="F82" i="3"/>
  <c r="I82" i="3" s="1"/>
  <c r="F64" i="3"/>
  <c r="I64" i="3" s="1"/>
  <c r="F46" i="3"/>
  <c r="I46" i="3" s="1"/>
  <c r="F28" i="3"/>
  <c r="I28" i="3" s="1"/>
  <c r="F16" i="3"/>
  <c r="I16" i="3" s="1"/>
  <c r="F87" i="3"/>
  <c r="I87" i="3" s="1"/>
  <c r="F63" i="3"/>
  <c r="I63" i="3" s="1"/>
  <c r="F39" i="3"/>
  <c r="I39" i="3" s="1"/>
  <c r="F3" i="3"/>
  <c r="I3" i="3" s="1"/>
  <c r="F91" i="3"/>
  <c r="I91" i="3" s="1"/>
  <c r="F73" i="3"/>
  <c r="I73" i="3" s="1"/>
  <c r="F55" i="3"/>
  <c r="I55" i="3" s="1"/>
  <c r="F37" i="3"/>
  <c r="I37" i="3" s="1"/>
  <c r="F19" i="3"/>
  <c r="I19" i="3" s="1"/>
  <c r="F96" i="3"/>
  <c r="I96" i="3" s="1"/>
  <c r="F78" i="3"/>
  <c r="I78" i="3" s="1"/>
  <c r="F60" i="3"/>
  <c r="I60" i="3" s="1"/>
  <c r="F42" i="3"/>
  <c r="I42" i="3" s="1"/>
  <c r="F24" i="3"/>
  <c r="I24" i="3" s="1"/>
  <c r="F6" i="3"/>
  <c r="I6" i="3" s="1"/>
  <c r="F95" i="3"/>
  <c r="I95" i="3" s="1"/>
  <c r="F77" i="3"/>
  <c r="I77" i="3" s="1"/>
  <c r="F59" i="3"/>
  <c r="I59" i="3" s="1"/>
  <c r="F41" i="3"/>
  <c r="I41" i="3" s="1"/>
  <c r="F11" i="3"/>
  <c r="I11" i="3" s="1"/>
  <c r="F88" i="3"/>
  <c r="I88" i="3" s="1"/>
  <c r="F70" i="3"/>
  <c r="I70" i="3" s="1"/>
  <c r="F52" i="3"/>
  <c r="I52" i="3" s="1"/>
  <c r="F40" i="3"/>
  <c r="I40" i="3" s="1"/>
  <c r="F22" i="3"/>
  <c r="I22" i="3" s="1"/>
  <c r="F10" i="3"/>
  <c r="I10" i="3" s="1"/>
  <c r="F99" i="3"/>
  <c r="I99" i="3" s="1"/>
  <c r="F93" i="3"/>
  <c r="I93" i="3" s="1"/>
  <c r="F81" i="3"/>
  <c r="I81" i="3" s="1"/>
  <c r="F75" i="3"/>
  <c r="I75" i="3" s="1"/>
  <c r="F69" i="3"/>
  <c r="I69" i="3" s="1"/>
  <c r="F57" i="3"/>
  <c r="I57" i="3" s="1"/>
  <c r="F51" i="3"/>
  <c r="I51" i="3" s="1"/>
  <c r="F45" i="3"/>
  <c r="I45" i="3" s="1"/>
  <c r="F33" i="3"/>
  <c r="I33" i="3" s="1"/>
  <c r="F27" i="3"/>
  <c r="I27" i="3" s="1"/>
  <c r="F21" i="3"/>
  <c r="I21" i="3" s="1"/>
  <c r="F15" i="3"/>
  <c r="I15" i="3" s="1"/>
  <c r="F9" i="3"/>
  <c r="I9" i="3" s="1"/>
  <c r="F85" i="3"/>
  <c r="I85" i="3" s="1"/>
  <c r="F67" i="3"/>
  <c r="I67" i="3" s="1"/>
  <c r="F49" i="3"/>
  <c r="I49" i="3" s="1"/>
  <c r="F31" i="3"/>
  <c r="I31" i="3" s="1"/>
  <c r="F13" i="3"/>
  <c r="I13" i="3" s="1"/>
  <c r="F84" i="3"/>
  <c r="I84" i="3" s="1"/>
  <c r="F66" i="3"/>
  <c r="I66" i="3" s="1"/>
  <c r="F48" i="3"/>
  <c r="I48" i="3" s="1"/>
  <c r="F30" i="3"/>
  <c r="F12" i="3"/>
  <c r="I12" i="3" s="1"/>
  <c r="F89" i="3"/>
  <c r="I89" i="3" s="1"/>
  <c r="F71" i="3"/>
  <c r="I71" i="3" s="1"/>
  <c r="F53" i="3"/>
  <c r="I53" i="3" s="1"/>
  <c r="F35" i="3"/>
  <c r="I35" i="3" s="1"/>
  <c r="F17" i="3"/>
  <c r="I17" i="3" s="1"/>
  <c r="F94" i="3"/>
  <c r="I94" i="3" s="1"/>
  <c r="F76" i="3"/>
  <c r="I76" i="3" s="1"/>
  <c r="F58" i="3"/>
  <c r="I58" i="3" s="1"/>
  <c r="F34" i="3"/>
  <c r="I34" i="3" s="1"/>
  <c r="F98" i="3"/>
  <c r="I98" i="3" s="1"/>
  <c r="F92" i="3"/>
  <c r="I92" i="3" s="1"/>
  <c r="F86" i="3"/>
  <c r="I86" i="3" s="1"/>
  <c r="F80" i="3"/>
  <c r="I80" i="3" s="1"/>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I2" i="3" s="1"/>
  <c r="E97" i="3"/>
  <c r="H97" i="3" s="1"/>
  <c r="E6" i="3"/>
  <c r="H6" i="3" s="1"/>
  <c r="E5" i="3"/>
  <c r="H5" i="3" s="1"/>
  <c r="E4" i="3"/>
  <c r="H4" i="3" s="1"/>
  <c r="E79" i="3"/>
  <c r="H79" i="3" s="1"/>
  <c r="E61" i="3"/>
  <c r="E43" i="3"/>
  <c r="E25" i="3"/>
  <c r="H25" i="3" s="1"/>
  <c r="E7" i="3"/>
  <c r="H7" i="3" s="1"/>
  <c r="E84" i="3"/>
  <c r="H84" i="3" s="1"/>
  <c r="E66" i="3"/>
  <c r="H66" i="3" s="1"/>
  <c r="E48" i="3"/>
  <c r="H48" i="3" s="1"/>
  <c r="E30" i="3"/>
  <c r="H30" i="3" s="1"/>
  <c r="E12" i="3"/>
  <c r="H12" i="3" s="1"/>
  <c r="E89" i="3"/>
  <c r="H89" i="3" s="1"/>
  <c r="E71" i="3"/>
  <c r="H71" i="3" s="1"/>
  <c r="E53" i="3"/>
  <c r="H53" i="3" s="1"/>
  <c r="E35" i="3"/>
  <c r="E23" i="3"/>
  <c r="E82" i="3"/>
  <c r="E64" i="3"/>
  <c r="H64" i="3" s="1"/>
  <c r="E46" i="3"/>
  <c r="H46" i="3" s="1"/>
  <c r="E28" i="3"/>
  <c r="H28" i="3" s="1"/>
  <c r="E16" i="3"/>
  <c r="H16" i="3" s="1"/>
  <c r="E99" i="3"/>
  <c r="H99" i="3" s="1"/>
  <c r="E75" i="3"/>
  <c r="H75" i="3" s="1"/>
  <c r="E51" i="3"/>
  <c r="H51" i="3" s="1"/>
  <c r="E27" i="3"/>
  <c r="H27" i="3" s="1"/>
  <c r="E3" i="3"/>
  <c r="H3" i="3" s="1"/>
  <c r="E85" i="3"/>
  <c r="E73" i="3"/>
  <c r="E55" i="3"/>
  <c r="H55" i="3" s="1"/>
  <c r="E37" i="3"/>
  <c r="H37" i="3" s="1"/>
  <c r="E19" i="3"/>
  <c r="H19" i="3" s="1"/>
  <c r="E90" i="3"/>
  <c r="H90" i="3" s="1"/>
  <c r="E72" i="3"/>
  <c r="H72" i="3" s="1"/>
  <c r="E54" i="3"/>
  <c r="H54" i="3" s="1"/>
  <c r="E36" i="3"/>
  <c r="H36" i="3" s="1"/>
  <c r="E24" i="3"/>
  <c r="H24" i="3" s="1"/>
  <c r="E101" i="3"/>
  <c r="H101" i="3" s="1"/>
  <c r="E83" i="3"/>
  <c r="H83" i="3" s="1"/>
  <c r="E65" i="3"/>
  <c r="H65" i="3" s="1"/>
  <c r="E47" i="3"/>
  <c r="E29" i="3"/>
  <c r="H29" i="3" s="1"/>
  <c r="E11" i="3"/>
  <c r="H11" i="3" s="1"/>
  <c r="E100" i="3"/>
  <c r="H100" i="3" s="1"/>
  <c r="E88" i="3"/>
  <c r="H88" i="3" s="1"/>
  <c r="E70" i="3"/>
  <c r="H70" i="3" s="1"/>
  <c r="E52" i="3"/>
  <c r="H52" i="3" s="1"/>
  <c r="E34" i="3"/>
  <c r="H34" i="3" s="1"/>
  <c r="E10" i="3"/>
  <c r="H10" i="3" s="1"/>
  <c r="E93" i="3"/>
  <c r="H93" i="3" s="1"/>
  <c r="E87" i="3"/>
  <c r="H87" i="3" s="1"/>
  <c r="E81" i="3"/>
  <c r="E69" i="3"/>
  <c r="E63" i="3"/>
  <c r="H63" i="3" s="1"/>
  <c r="E57" i="3"/>
  <c r="H57" i="3" s="1"/>
  <c r="E45" i="3"/>
  <c r="H45" i="3" s="1"/>
  <c r="E39" i="3"/>
  <c r="H39" i="3" s="1"/>
  <c r="E33" i="3"/>
  <c r="H33" i="3" s="1"/>
  <c r="E21" i="3"/>
  <c r="H21" i="3" s="1"/>
  <c r="E15" i="3"/>
  <c r="H15" i="3" s="1"/>
  <c r="E9" i="3"/>
  <c r="H9" i="3" s="1"/>
  <c r="E91" i="3"/>
  <c r="H91" i="3" s="1"/>
  <c r="E67" i="3"/>
  <c r="H67" i="3" s="1"/>
  <c r="E49" i="3"/>
  <c r="E31" i="3"/>
  <c r="E13" i="3"/>
  <c r="H13" i="3" s="1"/>
  <c r="E96" i="3"/>
  <c r="H96" i="3" s="1"/>
  <c r="E78" i="3"/>
  <c r="H78" i="3" s="1"/>
  <c r="E60" i="3"/>
  <c r="H60" i="3" s="1"/>
  <c r="E42" i="3"/>
  <c r="H42" i="3" s="1"/>
  <c r="E18" i="3"/>
  <c r="H18" i="3" s="1"/>
  <c r="E95" i="3"/>
  <c r="H95" i="3" s="1"/>
  <c r="E77" i="3"/>
  <c r="H77" i="3" s="1"/>
  <c r="E59" i="3"/>
  <c r="H59" i="3" s="1"/>
  <c r="E41" i="3"/>
  <c r="H41" i="3" s="1"/>
  <c r="E17" i="3"/>
  <c r="E94" i="3"/>
  <c r="E76" i="3"/>
  <c r="E58" i="3"/>
  <c r="H58" i="3" s="1"/>
  <c r="E40" i="3"/>
  <c r="H40" i="3" s="1"/>
  <c r="E22" i="3"/>
  <c r="H22" i="3" s="1"/>
  <c r="E98" i="3"/>
  <c r="H98" i="3" s="1"/>
  <c r="E92" i="3"/>
  <c r="H92" i="3" s="1"/>
  <c r="E86" i="3"/>
  <c r="H86" i="3" s="1"/>
  <c r="E80" i="3"/>
  <c r="H80" i="3" s="1"/>
  <c r="E74" i="3"/>
  <c r="H74" i="3" s="1"/>
  <c r="E68" i="3"/>
  <c r="H68" i="3" s="1"/>
  <c r="E62" i="3"/>
  <c r="H62" i="3" s="1"/>
  <c r="E56" i="3"/>
  <c r="E50" i="3"/>
  <c r="H50" i="3" s="1"/>
  <c r="E44" i="3"/>
  <c r="H44" i="3" s="1"/>
  <c r="E38" i="3"/>
  <c r="H38" i="3" s="1"/>
  <c r="E32" i="3"/>
  <c r="H32" i="3" s="1"/>
  <c r="E26" i="3"/>
  <c r="H26" i="3" s="1"/>
  <c r="E20" i="3"/>
  <c r="H20" i="3" s="1"/>
  <c r="E14" i="3"/>
  <c r="H14" i="3" s="1"/>
  <c r="E8" i="3"/>
  <c r="H8" i="3" s="1"/>
  <c r="E2" i="3"/>
  <c r="H2" i="3" s="1"/>
  <c r="D6" i="2"/>
  <c r="D3" i="2"/>
  <c r="D7" i="2"/>
  <c r="D5" i="2"/>
  <c r="D4" i="2"/>
  <c r="D8" i="2"/>
  <c r="D2" i="2"/>
  <c r="C4" i="2"/>
  <c r="C3" i="2"/>
  <c r="C5" i="2"/>
  <c r="C7" i="2"/>
  <c r="C6" i="2"/>
  <c r="C8" i="2"/>
  <c r="C2" i="2"/>
  <c r="J97" i="3"/>
  <c r="J18" i="3"/>
  <c r="J53" i="3"/>
  <c r="J35" i="3"/>
  <c r="J16" i="3"/>
  <c r="J72" i="3"/>
  <c r="J54" i="3"/>
  <c r="J89" i="3"/>
  <c r="J70" i="3"/>
  <c r="J52" i="3"/>
  <c r="J34" i="3"/>
  <c r="J93" i="3"/>
  <c r="J75" i="3"/>
  <c r="J27" i="3"/>
  <c r="J9" i="3"/>
  <c r="J85" i="3"/>
  <c r="J12" i="3"/>
  <c r="J95" i="3"/>
  <c r="J92" i="3"/>
  <c r="J80" i="3"/>
  <c r="J14" i="3"/>
  <c r="J8" i="3"/>
  <c r="I54" i="3"/>
  <c r="I30" i="3"/>
  <c r="H49" i="3"/>
  <c r="H61" i="3"/>
  <c r="H31" i="3"/>
  <c r="H73" i="3"/>
  <c r="H85" i="3"/>
  <c r="H35" i="3"/>
  <c r="H47" i="3"/>
  <c r="H23" i="3"/>
  <c r="H94" i="3"/>
  <c r="H76" i="3"/>
  <c r="H81" i="3"/>
  <c r="H69" i="3"/>
  <c r="H43" i="3"/>
  <c r="H17" i="3"/>
  <c r="H82" i="3"/>
  <c r="H56" i="3"/>
  <c r="J33" i="3"/>
  <c r="J15" i="3"/>
  <c r="J86"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<sst xmlns="http://schemas.openxmlformats.org/spreadsheetml/2006/main" count="311" uniqueCount="184">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</sst>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9">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xf numFmtId="0" fontId="0" fillId="0" borderId="0" xfId="0" applyNumberFormat="1"/>
  </cellXfs>
  <cellStyles count="1">
    <cellStyle name="Normal" xfId="0" builtinId="0"/>
  </cellStyles>
  <dxfs count="20">
    <dxf>
      <numFmt numFmtId="2" formatCode="0.00"/>
    </dxf>
    <dxf>
      <numFmt numFmtId="2" formatCode="0.00"/>
    </dxf>
    <dxf>
      <numFmt numFmtId="2" formatCode="0.0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768788657406"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1" maxValue="10"/>
    </cacheField>
    <cacheField name="Functionality" numFmtId="0">
      <sharedItems containsSemiMixedTypes="0" containsString="0" containsNumber="1" containsInteger="1" minValue="1"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1"/>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1"/>
    <n v="1"/>
    <n v="0"/>
    <n v="-100"/>
    <n v="-100"/>
    <n v="-100"/>
  </r>
  <r>
    <x v="0"/>
    <d v="2026-01-25T00:00:00"/>
    <x v="0"/>
    <s v="Very buggy. Can't rely on it for time tracking because it keeps logging me out randomly. The shift swap feature doesn't work at all. Performance issues make it hard to use daily."/>
    <n v="2"/>
    <n v="2"/>
    <n v="2"/>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1"/>
    <n v="2"/>
    <n v="2"/>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1"/>
    <n v="2"/>
    <n v="1"/>
    <n v="-100"/>
    <n v="-100"/>
    <n v="-100"/>
  </r>
  <r>
    <x v="2"/>
    <d v="2026-03-01T00:00:00"/>
    <x v="2"/>
    <s v="Extremely slow and crashes frequently. Trying to clock out takes several minutes if it works at all. The overtime tracking feature is completely broken. Very frustrating experience."/>
    <n v="1"/>
    <n v="1"/>
    <n v="2"/>
    <n v="-100"/>
    <n v="-100"/>
    <n v="-100"/>
  </r>
  <r>
    <x v="2"/>
    <d v="2026-03-08T00:00:00"/>
    <x v="0"/>
    <s v="App is improving slightly but still crashes too often. Performance is better than last month but still slow. At least I can clock in without it freezing now most of the time."/>
    <n v="4"/>
    <n v="6"/>
    <n v="4"/>
    <n v="-100"/>
    <n v="-100"/>
    <n v="-100"/>
  </r>
  <r>
    <x v="2"/>
    <d v="2026-03-15T00:00:00"/>
    <x v="1"/>
    <s v="Seeing some improvements in stability but it's still not great. The app doesn't crash as much but loading times are still painfully slow. Functionality is hit or miss."/>
    <n v="4"/>
    <n v="5"/>
    <n v="5"/>
    <n v="-100"/>
    <n v="-100"/>
    <n v="-100"/>
  </r>
  <r>
    <x v="2"/>
    <d v="2026-03-22T00:00:00"/>
    <x v="2"/>
    <s v="Getting better gradually. Fewer crashes this week though performance is still sluggish. Time tracking seems more reliable now. Still needs work but moving in the right direction."/>
    <n v="5"/>
    <n v="6"/>
    <n v="7"/>
    <n v="-100"/>
    <n v="-10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6"/>
    <n v="6"/>
    <n v="-100"/>
    <n v="-100"/>
    <n v="-100"/>
  </r>
  <r>
    <x v="3"/>
    <d v="2026-04-12T00:00:00"/>
    <x v="2"/>
    <s v="Progress is being made. The app is more stable and responds better. Had only one crash this week. Loading the schedule is quicker though still not instant."/>
    <n v="7"/>
    <n v="7"/>
    <n v="7"/>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7"/>
    <n v="8"/>
    <n v="8"/>
    <n v="0"/>
    <n v="0"/>
    <n v="0"/>
  </r>
  <r>
    <x v="4"/>
    <d v="2026-05-10T00:00:00"/>
    <x v="0"/>
    <s v="Much more stable than before. Can actually rely on it for daily time tracking now. Performance is acceptable though it occasionally slows down during shift changes."/>
    <n v="6"/>
    <n v="8"/>
    <n v="8"/>
    <n v="-100"/>
    <n v="0"/>
    <n v="0"/>
  </r>
  <r>
    <x v="4"/>
    <d v="2026-05-17T00:00:00"/>
    <x v="1"/>
    <s v="Good progress on stability. The app works consistently and crashes are uncommon now. Performance is solid for basic features though advanced reporting still lags a bit."/>
    <n v="7"/>
    <n v="7"/>
    <n v="7"/>
    <n v="0"/>
    <n v="0"/>
    <n v="0"/>
  </r>
  <r>
    <x v="4"/>
    <d v="2026-05-24T00:00:00"/>
    <x v="2"/>
    <s v="Functionality has improved a lot. Most features work as expected now and performance is reasonable. Still get the occasional slow response but nothing major."/>
    <n v="7"/>
    <n v="7"/>
    <n v="7"/>
    <n v="0"/>
    <n v="0"/>
    <n v="0"/>
  </r>
  <r>
    <x v="4"/>
    <d v="2026-05-31T00:00:00"/>
    <x v="0"/>
    <s v="Pretty stable lately. Haven't had a crash in over two weeks. Performance is good enough for daily use. Schedule loading is much faster than it used to be."/>
    <n v="7"/>
    <n v="8"/>
    <n v="8"/>
    <n v="0"/>
    <n v="0"/>
    <n v="0"/>
  </r>
  <r>
    <x v="5"/>
    <d v="2026-06-07T00:00:00"/>
    <x v="1"/>
    <s v="App is working well now. Time tracking is reliable and the interface responds quickly. Stability is solid. Only minor performance hiccups occasionally."/>
    <n v="9"/>
    <n v="9"/>
    <n v="8"/>
    <n v="100"/>
    <n v="100"/>
    <n v="0"/>
  </r>
  <r>
    <x v="5"/>
    <d v="2026-06-14T00:00:00"/>
    <x v="2"/>
    <s v="Reliable performance now. The app handles all my shifts without issues. Load times are acceptable and crashes are very rare. Definitely improved since launch."/>
    <n v="8"/>
    <n v="8"/>
    <n v="9"/>
    <n v="0"/>
    <n v="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8"/>
    <n v="9"/>
    <n v="-100"/>
    <n v="0"/>
    <n v="100"/>
  </r>
  <r>
    <x v="6"/>
    <d v="2026-07-26T00:00:00"/>
    <x v="2"/>
    <s v="Great performance now. The app is fast, stable, and all functionality works perfectly. Time tracking is accurate and reliable. No complaints about stability."/>
    <n v="9"/>
    <n v="9"/>
    <n v="10"/>
    <n v="100"/>
    <n v="100"/>
    <n v="100"/>
  </r>
  <r>
    <x v="7"/>
    <d v="2026-08-02T00:00:00"/>
    <x v="0"/>
    <s v="Running smoothly. Performance is excellent and I haven't seen a single crash in over a month. All features respond instantly. Very satisfied with the current state."/>
    <n v="9"/>
    <n v="10"/>
    <n v="9"/>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9"/>
    <n v="9"/>
    <n v="9"/>
    <n v="100"/>
    <n v="100"/>
    <n v="100"/>
  </r>
  <r>
    <x v="7"/>
    <d v="2026-08-30T00:00:00"/>
    <x v="1"/>
    <s v="Perfect stability. App performance is quite poor but everything functions exactly as it should. Time tracking is instantaneous and accurate every time."/>
    <n v="4"/>
    <n v="8"/>
    <n v="9"/>
    <n v="-100"/>
    <n v="0"/>
    <n v="100"/>
  </r>
  <r>
    <x v="8"/>
    <d v="2026-09-06T00:00:00"/>
    <x v="2"/>
    <s v="Flawless performance. The app is incredibly stable with excellent responsiveness. All features work seamlessly. This is what it should have been at launch."/>
    <n v="9"/>
    <n v="9"/>
    <n v="9"/>
    <n v="100"/>
    <n v="100"/>
    <n v="100"/>
  </r>
  <r>
    <x v="8"/>
    <d v="2026-09-13T00:00:00"/>
    <x v="0"/>
    <s v="Amazing turnaround. The app is now fast, stable, and fully functional. Performance is excellent across all features. Haven't had any issues in months."/>
    <n v="9"/>
    <n v="10"/>
    <n v="9"/>
    <n v="100"/>
    <n v="100"/>
    <n v="100"/>
  </r>
  <r>
    <x v="8"/>
    <d v="2026-09-20T00:00:00"/>
    <x v="1"/>
    <s v="Exceptional stability but poor speed. Everything works perfectly. The app handles my entire shift management without any glitches. Highly reliable."/>
    <n v="4"/>
    <n v="9"/>
    <n v="9"/>
    <n v="-100"/>
    <n v="100"/>
    <n v="100"/>
  </r>
  <r>
    <x v="8"/>
    <d v="2026-09-27T00:00:00"/>
    <x v="2"/>
    <s v="Top tier performance now. The app is stable, fast, and feature-complete. Time tracking and scheduling work flawlessly. Very impressed with the improvements."/>
    <n v="9"/>
    <n v="9"/>
    <n v="9"/>
    <n v="100"/>
    <n v="100"/>
    <n v="100"/>
  </r>
  <r>
    <x v="9"/>
    <d v="2026-10-04T00:00:00"/>
    <x v="0"/>
    <s v="Runs perfectly. Performance is outstanding with no slowdowns or crashes. All workforce features are fully functional and responsive. Excellent reliability."/>
    <n v="9"/>
    <n v="10"/>
    <n v="10"/>
    <n v="100"/>
    <n v="100"/>
    <n v="100"/>
  </r>
  <r>
    <x v="9"/>
    <d v="2026-10-11T00:00:00"/>
    <x v="1"/>
    <s v="The app is incredibly stable but very slow. Every feature works smoothly and efficiently. Time tracking has been flawless for months."/>
    <n v="2"/>
    <n v="8"/>
    <n v="9"/>
    <n v="-100"/>
    <n v="0"/>
    <n v="100"/>
  </r>
  <r>
    <x v="9"/>
    <d v="2026-10-18T00:00:00"/>
    <x v="2"/>
    <s v="Impeccable stability. Performance is consistently excellent with zero issues. All functions work perfectly every time. This is now a truly professional-grade app."/>
    <n v="9"/>
    <n v="10"/>
    <n v="10"/>
    <n v="100"/>
    <n v="100"/>
    <n v="100"/>
  </r>
  <r>
    <x v="9"/>
    <d v="2026-10-25T00:00:00"/>
    <x v="0"/>
    <s v="Brilliant performance throughout. The app is rock solid with fantastic speed. All workforce management features operate seamlessly. Couldn't ask for better stability."/>
    <n v="9"/>
    <n v="10"/>
    <n v="10"/>
    <n v="100"/>
    <n v="100"/>
    <n v="100"/>
  </r>
  <r>
    <x v="10"/>
    <d v="2026-11-01T00:00:00"/>
    <x v="1"/>
    <s v="Outstanding reliability. Can start very slowly but zero crashes. Every feature functions perfectly. The team has done an amazing job optimizing this."/>
    <n v="6"/>
    <n v="9"/>
    <n v="9"/>
    <n v="-100"/>
    <n v="100"/>
    <n v="100"/>
  </r>
  <r>
    <x v="10"/>
    <d v="2026-11-08T00:00:00"/>
    <x v="2"/>
    <s v="Phenomenal stability and speed. The app performs flawlessly in every aspect. Time tracking, scheduling, and all features work perfectly. Truly excellent now."/>
    <n v="9"/>
    <n v="10"/>
    <n v="10"/>
    <n v="100"/>
    <n v="100"/>
    <n v="100"/>
  </r>
  <r>
    <x v="10"/>
    <d v="2026-11-15T00:00:00"/>
    <x v="0"/>
    <s v="Perfect performance. The app is extremely stable, super fast, and all functionality works without any issues. Best workforce app I've used. Total transformation since January."/>
    <n v="9"/>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9"/>
    <n v="10"/>
    <n v="10"/>
    <n v="100"/>
    <n v="100"/>
    <n v="100"/>
  </r>
  <r>
    <x v="11"/>
    <d v="2026-12-06T00:00:00"/>
    <x v="0"/>
    <s v="Superb performance and stability. The app works perfectly every single time. Fast, reliable, and fully functional. An incredible improvement from where it started."/>
    <n v="9"/>
    <n v="10"/>
    <n v="9"/>
    <n v="100"/>
    <n v="100"/>
    <n v="100"/>
  </r>
  <r>
    <x v="11"/>
    <d v="2026-12-13T00:00:00"/>
    <x v="1"/>
    <s v="Flawless execution. The app is incredibly stable with exceptional performance. All features work seamlessly and instantly. Outstanding workforce management tool now."/>
    <n v="9"/>
    <n v="9"/>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2"/>
    <n v="1"/>
    <n v="1"/>
    <n v="-100"/>
    <n v="-100"/>
    <n v="-100"/>
  </r>
  <r>
    <x v="0"/>
    <d v="2026-01-24T00:00:00"/>
    <x v="1"/>
    <s v="Awful performance and constant crashes. The app freezes whenever I try to clock in. Everything is painfully slow and buggy. Completely unreliable."/>
    <n v="1"/>
    <n v="1"/>
    <n v="1"/>
    <n v="-100"/>
    <n v="-100"/>
    <n v="-100"/>
  </r>
  <r>
    <x v="0"/>
    <d v="2026-01-31T00:00:00"/>
    <x v="0"/>
    <s v="Extremely buggy and slow. Lost my entire shift history due to crashes. Performance degrades throughout the day. Can't trust it for workforce tracking at all."/>
    <n v="1"/>
    <n v="2"/>
    <n v="2"/>
    <n v="-100"/>
    <n v="-100"/>
    <n v="-100"/>
  </r>
  <r>
    <x v="1"/>
    <d v="2026-02-07T00:00:00"/>
    <x v="2"/>
    <s v="Stability is nonexistent. The app crashes multiple times per shift. Performance is abysmal with load times over a minute. Features don't work properly at all."/>
    <n v="1"/>
    <n v="2"/>
    <n v="0"/>
    <n v="-100"/>
    <n v="-100"/>
    <n v="-100"/>
  </r>
  <r>
    <x v="1"/>
    <d v="2026-02-14T00:00:00"/>
    <x v="1"/>
    <s v="Still crashes all the time. Performance hasn't improved at all. The app is just as slow and buggy as it was last month. Very disappointed with the lack of progress."/>
    <n v="2"/>
    <n v="2"/>
    <n v="1"/>
    <n v="-100"/>
    <n v="-100"/>
    <n v="-100"/>
  </r>
  <r>
    <x v="1"/>
    <d v="2026-02-21T00:00:00"/>
    <x v="0"/>
    <s v="Major stability problems continue but slightly less frequent. Performance is still very poor though marginally better. The app needs a lot more work."/>
    <n v="4"/>
    <n v="3"/>
    <n v="2"/>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1"/>
    <n v="2"/>
    <n v="2"/>
    <n v="-100"/>
    <n v="-100"/>
    <n v="-100"/>
  </r>
  <r>
    <x v="2"/>
    <d v="2026-03-14T00:00:00"/>
    <x v="0"/>
    <s v="Getting a bit better. Performance has improved slightly and crashes are less common. Still not great but at least it's somewhat functional now."/>
    <n v="5"/>
    <n v="6"/>
    <n v="6"/>
    <n v="-100"/>
    <n v="-100"/>
    <n v="-100"/>
  </r>
  <r>
    <x v="2"/>
    <d v="2026-03-21T00:00:00"/>
    <x v="2"/>
    <s v="Gradual improvements visible. The app crashes less often and responds a bit faster. Stability is improving slowly. Still needs significant work though."/>
    <n v="7"/>
    <n v="6"/>
    <n v="6"/>
    <n v="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7"/>
    <n v="8"/>
    <n v="8"/>
    <n v="0"/>
    <n v="0"/>
    <n v="0"/>
  </r>
  <r>
    <x v="3"/>
    <d v="2026-04-11T00:00:00"/>
    <x v="2"/>
    <s v="Much more stable lately. Performance has improved significantly. The app loads faster and crashes are uncommon now. Getting to an acceptable level."/>
    <n v="9"/>
    <n v="8"/>
    <n v="9"/>
    <n v="100"/>
    <n v="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8"/>
    <n v="9"/>
    <n v="9"/>
    <n v="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9"/>
    <n v="9"/>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9"/>
    <n v="100"/>
    <n v="100"/>
    <n v="100"/>
  </r>
  <r>
    <x v="5"/>
    <d v="2026-06-13T00:00:00"/>
    <x v="2"/>
    <s v="Impressive improvements. Performance is excellent and the app is rock solid. All features work flawlessly. Stability is top-notch now."/>
    <n v="9"/>
    <n v="9"/>
    <n v="9"/>
    <n v="100"/>
    <n v="100"/>
    <n v="100"/>
  </r>
  <r>
    <x v="5"/>
    <d v="2026-06-20T00:00:00"/>
    <x v="1"/>
    <s v="Performance is still subpar. The app  loads slowly. Really disappointing compared to other platforms."/>
    <n v="4"/>
    <n v="4"/>
    <n v="2"/>
    <n v="-100"/>
    <n v="-100"/>
    <n v="-100"/>
  </r>
  <r>
    <x v="5"/>
    <d v="2026-06-27T00:00:00"/>
    <x v="0"/>
    <s v="Outstanding stability and speed. The app performs brilliantly. All workforce features work perfectly. No issues at all anymore."/>
    <n v="9"/>
    <n v="9"/>
    <n v="9"/>
    <n v="100"/>
    <n v="100"/>
    <n v="100"/>
  </r>
  <r>
    <x v="6"/>
    <d v="2026-07-04T00:00:00"/>
    <x v="2"/>
    <s v="Superb performance. The app is lightning fast and completely stable. Everything functions seamlessly. Remarkable turnaround from the beginning of the year."/>
    <n v="9"/>
    <n v="9"/>
    <n v="10"/>
    <n v="100"/>
    <n v="100"/>
    <n v="100"/>
  </r>
  <r>
    <x v="6"/>
    <d v="2026-07-11T00:00:00"/>
    <x v="1"/>
    <s v="Still experiencing performance issues. Now has the same features as Android but the iOS version clearly needs more work than it's getting."/>
    <n v="4"/>
    <n v="4"/>
    <n v="4"/>
    <n v="-100"/>
    <n v="-100"/>
    <n v="-100"/>
  </r>
  <r>
    <x v="6"/>
    <d v="2026-07-18T00:00:00"/>
    <x v="0"/>
    <s v="Flawless performance now. The app is incredibly stable and responsive. All features work perfectly every time. Excellent workforce management tool."/>
    <n v="9"/>
    <n v="9"/>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2"/>
    <n v="4"/>
    <n v="4"/>
    <n v="-100"/>
    <n v="-100"/>
    <n v="-100"/>
  </r>
  <r>
    <x v="7"/>
    <d v="2026-08-08T00:00:00"/>
    <x v="0"/>
    <s v="Absolutely stellar. The app performs flawlessly with zero stability issues. Everything is fast and reliable. Best workforce app available."/>
    <n v="9"/>
    <n v="10"/>
    <n v="10"/>
    <n v="100"/>
    <n v="100"/>
    <n v="100"/>
  </r>
  <r>
    <x v="7"/>
    <d v="2026-08-15T00:00:00"/>
    <x v="2"/>
    <s v="Exceptional performance and stability. The app works perfectly across all features. Lightning fast and completely reliable. Couldn't be better."/>
    <n v="10"/>
    <n v="9"/>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9"/>
    <n v="10"/>
    <n v="9"/>
    <n v="100"/>
    <n v="100"/>
    <n v="100"/>
  </r>
  <r>
    <x v="8"/>
    <d v="2026-09-05T00:00:00"/>
    <x v="2"/>
    <s v="Brilliant stability and speed. The app performs exceptionally well. Everything functions flawlessly. An amazing year of continuous improvement."/>
    <n v="9"/>
    <n v="9"/>
    <n v="9"/>
    <n v="100"/>
    <n v="100"/>
    <n v="100"/>
  </r>
  <r>
    <x v="8"/>
    <d v="2026-09-12T00:00:00"/>
    <x v="1"/>
    <s v="Performance remains problematic. Very stable now but runs slowly. Great new features but unless the speed improves we're thinking of switching to something else"/>
    <n v="4"/>
    <n v="5"/>
    <n v="5"/>
    <n v="-100"/>
    <n v="-100"/>
    <n v="-100"/>
  </r>
  <r>
    <x v="8"/>
    <d v="2026-09-19T00:00:00"/>
    <x v="0"/>
    <s v="Outstanding reliability. Performance is consistently excellent. The app is lightning fast and completely stable. All workforce features work perfectly."/>
    <n v="9"/>
    <n v="9"/>
    <n v="10"/>
    <n v="100"/>
    <n v="100"/>
    <n v="100"/>
  </r>
  <r>
    <x v="8"/>
    <d v="2026-09-26T00:00:00"/>
    <x v="2"/>
    <s v="Flawless execution. The app is incredibly stable with exceptional performance. Everything works instantly and reliably. Best in class application."/>
    <n v="9"/>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9"/>
    <n v="9"/>
    <n v="10"/>
    <n v="100"/>
    <n v="100"/>
    <n v="100"/>
  </r>
  <r>
    <x v="9"/>
    <d v="2026-10-17T00:00:00"/>
    <x v="2"/>
    <s v="Perfect stability and performance. The app works seamlessly with instant responsiveness. Every feature functions perfectly. Truly outstanding quality."/>
    <n v="9"/>
    <n v="10"/>
    <n v="10"/>
    <n v="100"/>
    <n v="100"/>
    <n v="100"/>
  </r>
  <r>
    <x v="9"/>
    <d v="2026-10-24T00:00:00"/>
    <x v="1"/>
    <s v="Still slow but not rock solid and stable. Some excellent features are now available in the app&quot;"/>
    <n v="4"/>
    <n v="7"/>
    <n v="4"/>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9"/>
    <n v="10"/>
    <n v="10"/>
    <n v="100"/>
    <n v="100"/>
    <n v="100"/>
  </r>
  <r>
    <x v="10"/>
    <d v="2026-11-14T00:00:00"/>
    <x v="1"/>
    <s v="Still quite slow but very stable. I like the new features that have appeared."/>
    <n v="5"/>
    <n v="6"/>
    <n v="8"/>
    <n v="-100"/>
    <n v="-100"/>
    <n v="0"/>
  </r>
  <r>
    <x v="10"/>
    <d v="2026-11-21T00:00:00"/>
    <x v="0"/>
    <s v="Absolutely perfect now. The app is incredibly stable and lightning fast. All features work flawlessly. From terrible to excellent - amazing transformation."/>
    <n v="9"/>
    <n v="10"/>
    <n v="9"/>
    <n v="100"/>
    <n v="100"/>
    <n v="100"/>
  </r>
  <r>
    <x v="10"/>
    <d v="2026-11-28T00:00:00"/>
    <x v="2"/>
    <s v="Remarkable performance and stability. The app operates perfectly with instant loading. Everything works seamlessly. A complete success story."/>
    <n v="9"/>
    <n v="9"/>
    <n v="9"/>
    <n v="100"/>
    <n v="100"/>
    <n v="100"/>
  </r>
  <r>
    <x v="11"/>
    <d v="2026-12-05T00:00:00"/>
    <x v="1"/>
    <s v="It's very slow, but i's very stable and does not crash. I  love the new features that have arrived."/>
    <n v="4"/>
    <n v="6"/>
    <n v="7"/>
    <n v="-100"/>
    <n v="-100"/>
    <n v="0"/>
  </r>
  <r>
    <x v="11"/>
    <d v="2026-12-12T00:00:00"/>
    <x v="0"/>
    <s v="Flawless performance throughout. The app is rock solid with exceptional speed. All workforce management features operate perfectly. Truly premium quality."/>
    <n v="9"/>
    <n v="9"/>
    <n v="10"/>
    <n v="100"/>
    <n v="100"/>
    <n v="100"/>
  </r>
  <r>
    <x v="11"/>
    <d v="2026-12-19T00:00:00"/>
    <x v="2"/>
    <s v="Outstanding in every way. Performance is exceptional and stability is perfect. Every feature works flawlessly. An incredible year of improvement culminating in excellence."/>
    <n v="9"/>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3"/>
    <tableColumn id="1" xr3:uid="{BB70A467-BF73-2D41-B8A6-0D795BB2D9A8}" name="Accomodation" totalsRowFunction="custom" dataDxfId="18" totalsRowDxfId="2">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7" totalsRowDxfId="1">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6" totalsRowDxfId="0">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5" dataDxfId="14">
  <autoFilter ref="A1:J101" xr:uid="{0AFE1DDF-C084-5B42-A916-14818E09486B}"/>
  <tableColumns count="10">
    <tableColumn id="7" xr3:uid="{57201237-34AD-B741-83D8-71FEB913D280}" name="Month" dataDxfId="13">
      <calculatedColumnFormula>TEXT(Table2[[#This Row],[Date]], "YYYY-MM")</calculatedColumnFormula>
    </tableColumn>
    <tableColumn id="1" xr3:uid="{9944B393-894A-ED4C-9A5D-EC9BA5E89963}" name="Date" dataDxfId="12"/>
    <tableColumn id="2" xr3:uid="{0C89097E-D28B-1B44-83CB-2F338256115B}" name="Source" dataDxfId="11"/>
    <tableColumn id="3" xr3:uid="{17D04D97-0B31-0944-B447-F7522399C8E7}" name="Review" dataDxfId="10"/>
    <tableColumn id="4" xr3:uid="{2121305A-13A1-3B4B-816C-1C9B5C63740F}" name="Speed" dataDxfId="9">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8">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7">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6">
      <calculatedColumnFormula>IF(Table2[[#This Row],[Speed]]&gt;=9, 100, IF(Table2[[#This Row],[Speed]]&lt;=6, -100, 0))</calculatedColumnFormula>
    </tableColumn>
    <tableColumn id="12" xr3:uid="{51F2BE3A-2F49-4041-BFE6-17FE47130122}" name="Functionality NPS Contribution" dataDxfId="5">
      <calculatedColumnFormula>IF(Table2[[#This Row],[Functionality]]&gt;=9, 100, IF(Table2[[#This Row],[Functionality]]&lt;=6, -100, 0))</calculatedColumnFormula>
    </tableColumn>
    <tableColumn id="13" xr3:uid="{A45A43FD-4663-5240-8223-67566304D135}" name="Stability NPS Contribution" dataDxfId="4">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3" sqref="B3"/>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1</v>
      </c>
    </row>
    <row r="3" spans="1:4" ht="135" customHeight="1" x14ac:dyDescent="0.2">
      <c r="A3" s="1" t="s">
        <v>119</v>
      </c>
      <c r="B3" s="3" t="str" cm="1">
        <f t="array" ref="B3">OLLAMA("Create a rating from 0 to 10 for accomodation from the following review (DO NOT add extra text. ONLY reply with a number): ", Table1[[#This Row],[Review]])</f>
        <v>2</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2</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7</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8</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2</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2</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-85.714285714285708</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96" zoomScale="125" zoomScaleNormal="125" workbookViewId="0">
      <selection activeCell="D100" sqref="D100"/>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1</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1</v>
      </c>
      <c r="F4" s="8" cm="1">
        <f t="array" ref="F4">OLLAMA("Create a rating from 0 to 10 for functionality from the following review (DO NOT add extra text. ONLY reply with a number): ", Table2[[#This Row],[Review]])+0</f>
        <v>1</v>
      </c>
      <c r="G4" s="8" cm="1">
        <f t="array" ref="G4">OLLAMA("Create a rating from 0 to 10 for stability from the following review (DO NOT add extra text. ONLY reply with a number): ", Table2[[#This Row],[Review]])+0</f>
        <v>0</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2</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2</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1</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2</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1</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1</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1</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6</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5</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6</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-100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6</v>
      </c>
      <c r="G15" s="8" cm="1">
        <f t="array" ref="G15">OLLAMA("Create a rating from 0 to 10 for stability from the following review (DO NOT add extra text. ONLY reply with a number): ", Table2[[#This Row],[Review]])+0</f>
        <v>6</v>
      </c>
      <c r="H15" s="8">
        <f>IF(Table2[[#This Row],[Speed]]&gt;=9, 100, IF(Table2[[#This Row],[Speed]]&lt;=6, -100, 0))</f>
        <v>-100</v>
      </c>
      <c r="I15" s="8">
        <f>IF(Table2[[#This Row],[Functionality]]&gt;=9, 100, IF(Table2[[#This Row],[Functionality]]&lt;=6, -100, 0))</f>
        <v>-100</v>
      </c>
      <c r="J15" s="8">
        <f>IF(Table2[[#This Row],[Stability]]&gt;=9, 100, IF(Table2[[#This Row],[Stability]]&lt;=6, -100, 0))</f>
        <v>-100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7</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7</v>
      </c>
      <c r="F19" s="8" cm="1">
        <f t="array" ref="F19">OLLAMA("Create a rating from 0 to 10 for functionality from the following review (DO NOT add extra text. ONLY reply with a number): ", Table2[[#This Row],[Review]])+0</f>
        <v>8</v>
      </c>
      <c r="G19" s="8" cm="1">
        <f t="array" ref="G19">OLLAMA("Create a rating from 0 to 10 for stability from the following review (DO NOT add extra text. ONLY reply with a number): ", Table2[[#This Row],[Review]])+0</f>
        <v>8</v>
      </c>
      <c r="H19" s="8">
        <f>IF(Table2[[#This Row],[Speed]]&gt;=9, 100, IF(Table2[[#This Row],[Speed]]&lt;=6, -100, 0))</f>
        <v>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6</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-100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7</v>
      </c>
      <c r="F21" s="8" cm="1">
        <f t="array" ref="F21">OLLAMA("Create a rating from 0 to 10 for functionality from the following review (DO NOT add extra text. ONLY reply with a number): ", Table2[[#This Row],[Review]])+0</f>
        <v>7</v>
      </c>
      <c r="G21" s="8" cm="1">
        <f t="array" ref="G21">OLLAMA("Create a rating from 0 to 10 for stability from the following review (DO NOT add extra text. ONLY reply with a number): ", Table2[[#This Row],[Review]])+0</f>
        <v>7</v>
      </c>
      <c r="H21" s="8">
        <f>IF(Table2[[#This Row],[Speed]]&gt;=9, 100, IF(Table2[[#This Row],[Speed]]&lt;=6, -100, 0))</f>
        <v>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7</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7</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9</v>
      </c>
      <c r="F24" s="8" cm="1">
        <f t="array" ref="F24">OLLAMA("Create a rating from 0 to 10 for functionality from the following review (DO NOT add extra text. ONLY reply with a number): ", Table2[[#This Row],[Review]])+0</f>
        <v>9</v>
      </c>
      <c r="G24" s="8" cm="1">
        <f t="array" ref="G24">OLLAMA("Create a rating from 0 to 10 for stability from the following review (DO NOT add extra text. ONLY reply with a number): ", Table2[[#This Row],[Review]])+0</f>
        <v>8</v>
      </c>
      <c r="H24" s="8">
        <f>IF(Table2[[#This Row],[Speed]]&gt;=9, 100, IF(Table2[[#This Row],[Speed]]&lt;=6, -100, 0))</f>
        <v>100</v>
      </c>
      <c r="I24" s="8">
        <f>IF(Table2[[#This Row],[Functionality]]&gt;=9, 100, IF(Table2[[#This Row],[Functionality]]&lt;=6, -100, 0))</f>
        <v>100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8</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8</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9</v>
      </c>
      <c r="F31" s="8" cm="1">
        <f t="array" ref="F31">OLLAMA("Create a rating from 0 to 10 for functionality from the following review (DO NOT add extra text. ONLY reply with a number): ", Table2[[#This Row],[Review]])+0</f>
        <v>9</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9</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9</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9</v>
      </c>
      <c r="F35" s="8" cm="1">
        <f t="array" ref="F35">OLLAMA("Create a rating from 0 to 10 for functionality from the following review (DO NOT add extra text. ONLY reply with a number): ", Table2[[#This Row],[Review]])+0</f>
        <v>9</v>
      </c>
      <c r="G35" s="8" cm="1">
        <f t="array" ref="G35">OLLAMA("Create a rating from 0 to 10 for stability from the following review (DO NOT add extra text. ONLY reply with a number): ", Table2[[#This Row],[Review]])+0</f>
        <v>9</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8</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9</v>
      </c>
      <c r="F37" s="8" cm="1">
        <f t="array" ref="F37">OLLAMA("Create a rating from 0 to 10 for functionality from the following review (DO NOT add extra text. ONLY reply with a number): ", Table2[[#This Row],[Review]])+0</f>
        <v>9</v>
      </c>
      <c r="G37" s="8" cm="1">
        <f t="array" ref="G37">OLLAMA("Create a rating from 0 to 10 for stability from the following review (DO NOT add extra text. ONLY reply with a number): ", Table2[[#This Row],[Review]])+0</f>
        <v>9</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9</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9</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4</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9</v>
      </c>
      <c r="F40" s="8" cm="1">
        <f t="array" ref="F40">OLLAMA("Create a rating from 0 to 10 for functionality from the following review (DO NOT add extra text. ONLY reply with a number): ", Table2[[#This Row],[Review]])+0</f>
        <v>9</v>
      </c>
      <c r="G40" s="8" cm="1">
        <f t="array" ref="G40">OLLAMA("Create a rating from 0 to 10 for stability from the following review (DO NOT add extra text. ONLY reply with a number): ", Table2[[#This Row],[Review]])+0</f>
        <v>9</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9</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2</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9</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9</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6</v>
      </c>
      <c r="F45" s="8" cm="1">
        <f t="array" ref="F45">OLLAMA("Create a rating from 0 to 10 for functionality from the following review (DO NOT add extra text. ONLY reply with a number): ", Table2[[#This Row],[Review]])+0</f>
        <v>9</v>
      </c>
      <c r="G45" s="8" cm="1">
        <f t="array" ref="G45">OLLAMA("Create a rating from 0 to 10 for stability from the following review (DO NOT add extra text. ONLY reply with a number): ", Table2[[#This Row],[Review]])+0</f>
        <v>9</v>
      </c>
      <c r="H45" s="8">
        <f>IF(Table2[[#This Row],[Speed]]&gt;=9, 100, IF(Table2[[#This Row],[Speed]]&lt;=6, -100, 0))</f>
        <v>-100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9</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9</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9</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9</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9</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9</v>
      </c>
      <c r="F51" s="8" cm="1">
        <f t="array" ref="F51">OLLAMA("Create a rating from 0 to 10 for functionality from the following review (DO NOT add extra text. ONLY reply with a number): ", Table2[[#This Row],[Review]])+0</f>
        <v>9</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2</v>
      </c>
      <c r="F53" s="8" cm="1">
        <f t="array" ref="F53">OLLAMA("Create a rating from 0 to 10 for functionality from the following review (DO NOT add extra text. ONLY reply with a number): ", Table2[[#This Row],[Review]])+0</f>
        <v>1</v>
      </c>
      <c r="G53" s="8" cm="1">
        <f t="array" ref="G53">OLLAMA("Create a rating from 0 to 10 for stability from the following review (DO NOT add extra text. ONLY reply with a number): ", Table2[[#This Row],[Review]])+0</f>
        <v>1</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1</v>
      </c>
      <c r="F54" s="8" cm="1">
        <f t="array" ref="F54">OLLAMA("Create a rating from 0 to 10 for functionality from the following review (DO NOT add extra text. ONLY reply with a number): ", Table2[[#This Row],[Review]])+0</f>
        <v>1</v>
      </c>
      <c r="G54" s="8" cm="1">
        <f t="array" ref="G54">OLLAMA("Create a rating from 0 to 10 for stability from the following review (DO NOT add extra text. ONLY reply with a number): ", Table2[[#This Row],[Review]])+0</f>
        <v>1</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1</v>
      </c>
      <c r="F55" s="8" cm="1">
        <f t="array" ref="F55">OLLAMA("Create a rating from 0 to 10 for functionality from the following review (DO NOT add extra text. ONLY reply with a number): ", Table2[[#This Row],[Review]])+0</f>
        <v>2</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1</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2</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1</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4</v>
      </c>
      <c r="F58" s="8" cm="1">
        <f t="array" ref="F58">OLLAMA("Create a rating from 0 to 10 for functionality from the following review (DO NOT add extra text. ONLY reply with a number): ", Table2[[#This Row],[Review]])+0</f>
        <v>3</v>
      </c>
      <c r="G58" s="8" cm="1">
        <f t="array" ref="G58">OLLAMA("Create a rating from 0 to 10 for stability from the following review (DO NOT add extra text. ONLY reply with a number): ", Table2[[#This Row],[Review]])+0</f>
        <v>2</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1</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5</v>
      </c>
      <c r="F61" s="8" cm="1">
        <f t="array" ref="F61">OLLAMA("Create a rating from 0 to 10 for functionality from the following review (DO NOT add extra text. ONLY reply with a number): ", Table2[[#This Row],[Review]])+0</f>
        <v>6</v>
      </c>
      <c r="G61" s="8" cm="1">
        <f t="array" ref="G61">OLLAMA("Create a rating from 0 to 10 for stability from the following review (DO NOT add extra text. ONLY reply with a number): ", Table2[[#This Row],[Review]])+0</f>
        <v>6</v>
      </c>
      <c r="H61" s="8">
        <f>IF(Table2[[#This Row],[Speed]]&gt;=9, 100, IF(Table2[[#This Row],[Speed]]&lt;=6, -100, 0))</f>
        <v>-100</v>
      </c>
      <c r="I61" s="8">
        <f>IF(Table2[[#This Row],[Functionality]]&gt;=9, 100, IF(Table2[[#This Row],[Functionality]]&lt;=6, -100, 0))</f>
        <v>-100</v>
      </c>
      <c r="J61" s="8">
        <f>IF(Table2[[#This Row],[Stability]]&gt;=9, 100, IF(Table2[[#This Row],[Stability]]&lt;=6, -100, 0))</f>
        <v>-100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7</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7</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8</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8</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9</v>
      </c>
      <c r="G70" s="8" cm="1">
        <f t="array" ref="G70">OLLAMA("Create a rating from 0 to 10 for stability from the following review (DO NOT add extra text. ONLY reply with a number): ", Table2[[#This Row],[Review]])+0</f>
        <v>9</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9</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9</v>
      </c>
      <c r="F74" s="8" cm="1">
        <f t="array" ref="F74">OLLAMA("Create a rating from 0 to 10 for functionality from the following review (DO NOT add extra text. ONLY reply with a number): ", Table2[[#This Row],[Review]])+0</f>
        <v>9</v>
      </c>
      <c r="G74" s="8" cm="1">
        <f t="array" ref="G74">OLLAMA("Create a rating from 0 to 10 for stability from the following review (DO NOT add extra text. ONLY reply with a number): ", Table2[[#This Row],[Review]])+0</f>
        <v>9</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4</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2</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9</v>
      </c>
      <c r="G76" s="8" cm="1">
        <f t="array" ref="G76">OLLAMA("Create a rating from 0 to 10 for stability from the following review (DO NOT add extra text. ONLY reply with a number): ", Table2[[#This Row],[Review]])+0</f>
        <v>9</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9</v>
      </c>
      <c r="F77" s="8" cm="1">
        <f t="array" ref="F77">OLLAMA("Create a rating from 0 to 10 for functionality from the following review (DO NOT add extra text. ONLY reply with a number): ", Table2[[#This Row],[Review]])+0</f>
        <v>9</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4</v>
      </c>
      <c r="F78" s="8" cm="1">
        <f t="array" ref="F78">OLLAMA("Create a rating from 0 to 10 for functionality from the following review (DO NOT add extra text. ONLY reply with a number): ", Table2[[#This Row],[Review]])+0</f>
        <v>4</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9</v>
      </c>
      <c r="F79" s="8" cm="1">
        <f t="array" ref="F79">OLLAMA("Create a rating from 0 to 10 for functionality from the following review (DO NOT add extra text. ONLY reply with a number): ", Table2[[#This Row],[Review]])+0</f>
        <v>9</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2</v>
      </c>
      <c r="F81" s="8" cm="1">
        <f t="array" ref="F81">OLLAMA("Create a rating from 0 to 10 for functionality from the following review (DO NOT add extra text. ONLY reply with a number): ", Table2[[#This Row],[Review]])+0</f>
        <v>4</v>
      </c>
      <c r="G81" s="8" cm="1">
        <f t="array" ref="G81">OLLAMA("Create a rating from 0 to 10 for stability from the following review (DO NOT add extra text. ONLY reply with a number): ", Table2[[#This Row],[Review]])+0</f>
        <v>4</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9</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9</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9</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9</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9</v>
      </c>
      <c r="G86" s="8" cm="1">
        <f t="array" ref="G86">OLLAMA("Create a rating from 0 to 10 for stability from the following review (DO NOT add extra text. ONLY reply with a number): ", Table2[[#This Row],[Review]])+0</f>
        <v>9</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5</v>
      </c>
      <c r="G87" s="8" cm="1">
        <f t="array" ref="G87">OLLAMA("Create a rating from 0 to 10 for stability from the following review (DO NOT add extra text. ONLY reply with a number): ", Table2[[#This Row],[Review]])+0</f>
        <v>5</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9</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9</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9</v>
      </c>
      <c r="F91" s="8" cm="1">
        <f t="array" ref="F91">OLLAMA("Create a rating from 0 to 10 for functionality from the following review (DO NOT add extra text. ONLY reply with a number): ", Table2[[#This Row],[Review]])+0</f>
        <v>9</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9</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4</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9</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5</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9</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9</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9</v>
      </c>
      <c r="F98" s="8" cm="1">
        <f t="array" ref="F98">OLLAMA("Create a rating from 0 to 10 for functionality from the following review (DO NOT add extra text. ONLY reply with a number): ", Table2[[#This Row],[Review]])+0</f>
        <v>9</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4</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7</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9</v>
      </c>
      <c r="F100" s="8" cm="1">
        <f t="array" ref="F100">OLLAMA("Create a rating from 0 to 10 for functionality from the following review (DO NOT add extra text. ONLY reply with a number): ", Table2[[#This Row],[Review]])+0</f>
        <v>9</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9</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174</v>
      </c>
    </row>
    <row r="3" spans="1:1" ht="96" x14ac:dyDescent="0.2">
      <c r="A3" s="14" t="s">
        <v>181</v>
      </c>
    </row>
    <row r="5" spans="1:1" ht="20" x14ac:dyDescent="0.2">
      <c r="A5" s="13" t="s">
        <v>139</v>
      </c>
    </row>
    <row r="7" spans="1:1" ht="16" x14ac:dyDescent="0.2">
      <c r="A7" s="12" t="s">
        <v>173</v>
      </c>
    </row>
    <row r="8" spans="1:1" ht="16" x14ac:dyDescent="0.2">
      <c r="A8" s="12" t="s">
        <v>172</v>
      </c>
    </row>
    <row r="9" spans="1:1" ht="16" x14ac:dyDescent="0.2">
      <c r="A9" s="12" t="s">
        <v>171</v>
      </c>
    </row>
    <row r="10" spans="1:1" ht="16" x14ac:dyDescent="0.2">
      <c r="A10" s="12" t="s">
        <v>170</v>
      </c>
    </row>
    <row r="11" spans="1:1" ht="16" x14ac:dyDescent="0.2">
      <c r="A11" s="12" t="s">
        <v>169</v>
      </c>
    </row>
    <row r="12" spans="1:1" ht="16" x14ac:dyDescent="0.2">
      <c r="A12" s="12" t="s">
        <v>168</v>
      </c>
    </row>
    <row r="14" spans="1:1" ht="20" x14ac:dyDescent="0.2">
      <c r="A14" s="13" t="s">
        <v>167</v>
      </c>
    </row>
    <row r="16" spans="1:1" ht="17" x14ac:dyDescent="0.2">
      <c r="A16" s="15" t="s">
        <v>166</v>
      </c>
    </row>
    <row r="17" spans="1:1" ht="16" x14ac:dyDescent="0.2">
      <c r="A17" s="14" t="s">
        <v>165</v>
      </c>
    </row>
    <row r="19" spans="1:1" ht="16" x14ac:dyDescent="0.2">
      <c r="A19" s="12" t="s">
        <v>164</v>
      </c>
    </row>
    <row r="20" spans="1:1" ht="16" x14ac:dyDescent="0.2">
      <c r="A20" s="16" t="s">
        <v>163</v>
      </c>
    </row>
    <row r="21" spans="1:1" ht="16" x14ac:dyDescent="0.2">
      <c r="A21" s="16" t="s">
        <v>162</v>
      </c>
    </row>
    <row r="22" spans="1:1" ht="16" x14ac:dyDescent="0.2">
      <c r="A22" s="16" t="s">
        <v>161</v>
      </c>
    </row>
    <row r="24" spans="1:1" ht="16" x14ac:dyDescent="0.2">
      <c r="A24" s="12" t="s">
        <v>175</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160</v>
      </c>
    </row>
    <row r="31" spans="1:1" ht="16" x14ac:dyDescent="0.2">
      <c r="A31" s="14" t="s">
        <v>159</v>
      </c>
    </row>
    <row r="33" spans="1:1" ht="20" x14ac:dyDescent="0.2">
      <c r="A33" s="13" t="s">
        <v>158</v>
      </c>
    </row>
    <row r="35" spans="1:1" ht="16" x14ac:dyDescent="0.2">
      <c r="A35" s="12" t="s">
        <v>157</v>
      </c>
    </row>
    <row r="36" spans="1:1" ht="16" x14ac:dyDescent="0.2">
      <c r="A36" s="12" t="s">
        <v>156</v>
      </c>
    </row>
    <row r="37" spans="1:1" ht="16" x14ac:dyDescent="0.2">
      <c r="A37" s="12" t="s">
        <v>183</v>
      </c>
    </row>
    <row r="39" spans="1:1" ht="20" x14ac:dyDescent="0.2">
      <c r="A39" s="13" t="s">
        <v>155</v>
      </c>
    </row>
    <row r="41" spans="1:1" ht="16" x14ac:dyDescent="0.2">
      <c r="A41" s="12" t="s">
        <v>154</v>
      </c>
    </row>
    <row r="42" spans="1:1" ht="16" x14ac:dyDescent="0.2">
      <c r="A42" s="12" t="s">
        <v>176</v>
      </c>
    </row>
    <row r="43" spans="1:1" ht="32" x14ac:dyDescent="0.2">
      <c r="A43" s="12" t="s">
        <v>177</v>
      </c>
    </row>
    <row r="44" spans="1:1" ht="16" x14ac:dyDescent="0.2">
      <c r="A44" s="12" t="s">
        <v>178</v>
      </c>
    </row>
    <row r="45" spans="1:1" ht="16" x14ac:dyDescent="0.2">
      <c r="A45" s="12" t="s">
        <v>179</v>
      </c>
    </row>
    <row r="46" spans="1:1" ht="16" x14ac:dyDescent="0.2">
      <c r="A46" s="12" t="s">
        <v>180</v>
      </c>
    </row>
    <row r="48" spans="1:1" ht="20" x14ac:dyDescent="0.2">
      <c r="A48" s="13" t="s">
        <v>153</v>
      </c>
    </row>
    <row r="50" spans="1:1" ht="16" x14ac:dyDescent="0.2">
      <c r="A50" s="12" t="s">
        <v>152</v>
      </c>
    </row>
    <row r="51" spans="1:1" ht="32" x14ac:dyDescent="0.2">
      <c r="A51" s="12" t="s">
        <v>182</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s="18">
        <v>-100</v>
      </c>
    </row>
    <row r="5" spans="1:2" x14ac:dyDescent="0.2">
      <c r="A5" s="5" t="s">
        <v>20</v>
      </c>
      <c r="B5" s="18">
        <v>-100</v>
      </c>
    </row>
    <row r="6" spans="1:2" x14ac:dyDescent="0.2">
      <c r="A6" s="5" t="s">
        <v>21</v>
      </c>
      <c r="B6" s="18">
        <v>-77.777777777777771</v>
      </c>
    </row>
    <row r="7" spans="1:2" x14ac:dyDescent="0.2">
      <c r="A7" s="5" t="s">
        <v>22</v>
      </c>
      <c r="B7" s="18">
        <v>-12.5</v>
      </c>
    </row>
    <row r="8" spans="1:2" x14ac:dyDescent="0.2">
      <c r="A8" s="5" t="s">
        <v>23</v>
      </c>
      <c r="B8" s="18">
        <v>0</v>
      </c>
    </row>
    <row r="9" spans="1:2" x14ac:dyDescent="0.2">
      <c r="A9" s="5" t="s">
        <v>24</v>
      </c>
      <c r="B9" s="18">
        <v>50</v>
      </c>
    </row>
    <row r="10" spans="1:2" x14ac:dyDescent="0.2">
      <c r="A10" s="5" t="s">
        <v>25</v>
      </c>
      <c r="B10" s="18">
        <v>50</v>
      </c>
    </row>
    <row r="11" spans="1:2" x14ac:dyDescent="0.2">
      <c r="A11" s="5" t="s">
        <v>26</v>
      </c>
      <c r="B11" s="18">
        <v>20</v>
      </c>
    </row>
    <row r="12" spans="1:2" x14ac:dyDescent="0.2">
      <c r="A12" s="5" t="s">
        <v>27</v>
      </c>
      <c r="B12" s="18">
        <v>50</v>
      </c>
    </row>
    <row r="13" spans="1:2" x14ac:dyDescent="0.2">
      <c r="A13" s="5" t="s">
        <v>28</v>
      </c>
      <c r="B13" s="18">
        <v>33.333333333333336</v>
      </c>
    </row>
    <row r="14" spans="1:2" x14ac:dyDescent="0.2">
      <c r="A14" s="5" t="s">
        <v>29</v>
      </c>
      <c r="B14" s="18">
        <v>33.333333333333336</v>
      </c>
    </row>
    <row r="15" spans="1:2" x14ac:dyDescent="0.2">
      <c r="A15" s="5" t="s">
        <v>30</v>
      </c>
      <c r="B15" s="18">
        <v>60</v>
      </c>
    </row>
    <row r="16" spans="1:2" x14ac:dyDescent="0.2">
      <c r="A16" s="5" t="s">
        <v>18</v>
      </c>
      <c r="B16" s="18">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s="18">
        <v>-100</v>
      </c>
    </row>
    <row r="5" spans="1:2" x14ac:dyDescent="0.2">
      <c r="A5" s="5" t="s">
        <v>20</v>
      </c>
      <c r="B5" s="18">
        <v>-100</v>
      </c>
    </row>
    <row r="6" spans="1:2" x14ac:dyDescent="0.2">
      <c r="A6" s="5" t="s">
        <v>21</v>
      </c>
      <c r="B6" s="18">
        <v>-88.888888888888886</v>
      </c>
    </row>
    <row r="7" spans="1:2" x14ac:dyDescent="0.2">
      <c r="A7" s="5" t="s">
        <v>22</v>
      </c>
      <c r="B7" s="18">
        <v>-12.5</v>
      </c>
    </row>
    <row r="8" spans="1:2" x14ac:dyDescent="0.2">
      <c r="A8" s="5" t="s">
        <v>23</v>
      </c>
      <c r="B8" s="18">
        <v>10</v>
      </c>
    </row>
    <row r="9" spans="1:2" x14ac:dyDescent="0.2">
      <c r="A9" s="5" t="s">
        <v>24</v>
      </c>
      <c r="B9" s="18">
        <v>62.5</v>
      </c>
    </row>
    <row r="10" spans="1:2" x14ac:dyDescent="0.2">
      <c r="A10" s="5" t="s">
        <v>25</v>
      </c>
      <c r="B10" s="18">
        <v>62.5</v>
      </c>
    </row>
    <row r="11" spans="1:2" x14ac:dyDescent="0.2">
      <c r="A11" s="5" t="s">
        <v>26</v>
      </c>
      <c r="B11" s="18">
        <v>40</v>
      </c>
    </row>
    <row r="12" spans="1:2" x14ac:dyDescent="0.2">
      <c r="A12" s="5" t="s">
        <v>27</v>
      </c>
      <c r="B12" s="18">
        <v>75</v>
      </c>
    </row>
    <row r="13" spans="1:2" x14ac:dyDescent="0.2">
      <c r="A13" s="5" t="s">
        <v>28</v>
      </c>
      <c r="B13" s="18">
        <v>55.555555555555557</v>
      </c>
    </row>
    <row r="14" spans="1:2" x14ac:dyDescent="0.2">
      <c r="A14" s="5" t="s">
        <v>29</v>
      </c>
      <c r="B14" s="18">
        <v>66.666666666666671</v>
      </c>
    </row>
    <row r="15" spans="1:2" x14ac:dyDescent="0.2">
      <c r="A15" s="5" t="s">
        <v>30</v>
      </c>
      <c r="B15" s="18">
        <v>60</v>
      </c>
    </row>
    <row r="16" spans="1:2" x14ac:dyDescent="0.2">
      <c r="A16" s="5" t="s">
        <v>18</v>
      </c>
      <c r="B16" s="18">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s="18">
        <v>-100</v>
      </c>
    </row>
    <row r="5" spans="1:2" x14ac:dyDescent="0.2">
      <c r="A5" s="5" t="s">
        <v>20</v>
      </c>
      <c r="B5" s="18">
        <v>-100</v>
      </c>
    </row>
    <row r="6" spans="1:2" x14ac:dyDescent="0.2">
      <c r="A6" s="5" t="s">
        <v>21</v>
      </c>
      <c r="B6" s="18">
        <v>-77.777777777777771</v>
      </c>
    </row>
    <row r="7" spans="1:2" x14ac:dyDescent="0.2">
      <c r="A7" s="5" t="s">
        <v>22</v>
      </c>
      <c r="B7" s="18">
        <v>0</v>
      </c>
    </row>
    <row r="8" spans="1:2" x14ac:dyDescent="0.2">
      <c r="A8" s="5" t="s">
        <v>23</v>
      </c>
      <c r="B8" s="18">
        <v>10</v>
      </c>
    </row>
    <row r="9" spans="1:2" x14ac:dyDescent="0.2">
      <c r="A9" s="5" t="s">
        <v>24</v>
      </c>
      <c r="B9" s="18">
        <v>62.5</v>
      </c>
    </row>
    <row r="10" spans="1:2" x14ac:dyDescent="0.2">
      <c r="A10" s="5" t="s">
        <v>25</v>
      </c>
      <c r="B10" s="18">
        <v>75</v>
      </c>
    </row>
    <row r="11" spans="1:2" x14ac:dyDescent="0.2">
      <c r="A11" s="5" t="s">
        <v>26</v>
      </c>
      <c r="B11" s="18">
        <v>60</v>
      </c>
    </row>
    <row r="12" spans="1:2" x14ac:dyDescent="0.2">
      <c r="A12" s="5" t="s">
        <v>27</v>
      </c>
      <c r="B12" s="18">
        <v>75</v>
      </c>
    </row>
    <row r="13" spans="1:2" x14ac:dyDescent="0.2">
      <c r="A13" s="5" t="s">
        <v>28</v>
      </c>
      <c r="B13" s="18">
        <v>55.555555555555557</v>
      </c>
    </row>
    <row r="14" spans="1:2" x14ac:dyDescent="0.2">
      <c r="A14" s="5" t="s">
        <v>29</v>
      </c>
      <c r="B14" s="18">
        <v>88.888888888888886</v>
      </c>
    </row>
    <row r="15" spans="1:2" x14ac:dyDescent="0.2">
      <c r="A15" s="5" t="s">
        <v>30</v>
      </c>
      <c r="B15" s="18">
        <v>80</v>
      </c>
    </row>
    <row r="16" spans="1:2" x14ac:dyDescent="0.2">
      <c r="A16" s="5" t="s">
        <v>18</v>
      </c>
      <c r="B16" s="18">
        <v>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2025-11-14T18:27:16Z</dcterms:modified>
</cp:coreProperties>
</file>