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10D93087-F5E8-474F-B9C9-FA4B1004BFA7}" xr6:coauthVersionLast="47" xr6:coauthVersionMax="47" xr10:uidLastSave="{00000000-0000-0000-0000-000000000000}"/>
  <bookViews>
    <workbookView xWindow="0" yWindow="500" windowWidth="38400" windowHeight="21100" xr2:uid="{00000000-000D-0000-FFFF-FFFF00000000}"/>
  </bookViews>
  <sheets>
    <sheet name="User Stories" sheetId="8" r:id="rId1"/>
    <sheet name="README" sheetId="12" r:id="rId2"/>
  </sheets>
  <functionGroups builtInGroupCount="19"/>
  <definedNames>
    <definedName name="_xleta.AND" hidden="1" xlm="1">#NAME?</definedName>
    <definedName name="_xleta.IF"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8" l="1" a="1"/>
  <c r="G9" i="8" a="1"/>
  <c r="G15" i="8" a="1"/>
  <c r="G21" i="8" a="1"/>
  <c r="G19" i="8" a="1"/>
  <c r="G14" i="8" a="1"/>
  <c r="G10" i="8" a="1"/>
  <c r="G16" i="8" a="1"/>
  <c r="G11" i="8" a="1"/>
  <c r="G12" i="8" a="1"/>
  <c r="G7" i="8" a="1"/>
  <c r="G20" i="8" a="1"/>
  <c r="G4" i="8" a="1"/>
  <c r="G22" i="8" a="1"/>
  <c r="G17" i="8" a="1"/>
  <c r="G18" i="8" a="1"/>
  <c r="G13" i="8" a="1"/>
  <c r="G8" i="8" a="1"/>
  <c r="G5" i="8" a="1"/>
  <c r="G6" i="8" a="1"/>
  <c r="F3" i="8" a="1"/>
  <c r="F9" i="8" a="1"/>
  <c r="F15" i="8" a="1"/>
  <c r="F21" i="8" a="1"/>
  <c r="F11" i="8" a="1"/>
  <c r="F6" i="8" a="1"/>
  <c r="F7" i="8" a="1"/>
  <c r="F20" i="8" a="1"/>
  <c r="F10" i="8" a="1"/>
  <c r="F16" i="8" a="1"/>
  <c r="F22" i="8" a="1"/>
  <c r="F5" i="8" a="1"/>
  <c r="F12" i="8" a="1"/>
  <c r="F13" i="8" a="1"/>
  <c r="F8" i="8" a="1"/>
  <c r="F4" i="8" a="1"/>
  <c r="F17" i="8" a="1"/>
  <c r="F18" i="8" a="1"/>
  <c r="F19" i="8" a="1"/>
  <c r="F14" i="8" a="1"/>
  <c r="E3" i="8" a="1"/>
  <c r="E10" i="8" a="1"/>
  <c r="E16" i="8" a="1"/>
  <c r="E5" i="8" a="1"/>
  <c r="E17" i="8" a="1"/>
  <c r="E12" i="8" a="1"/>
  <c r="E18" i="8" a="1"/>
  <c r="E13" i="8" a="1"/>
  <c r="E8" i="8" a="1"/>
  <c r="E20" i="8" a="1"/>
  <c r="E15" i="8" a="1"/>
  <c r="E4" i="8" a="1"/>
  <c r="E22" i="8" a="1"/>
  <c r="E11" i="8" a="1"/>
  <c r="E6" i="8" a="1"/>
  <c r="E7" i="8" a="1"/>
  <c r="E19" i="8" a="1"/>
  <c r="E14" i="8" a="1"/>
  <c r="E9" i="8" a="1"/>
  <c r="E21" i="8" a="1"/>
  <c r="A26" i="12"/>
  <c r="A28" i="12"/>
  <c r="A25" i="12"/>
  <c r="A27" i="12"/>
  <c r="J3" i="8" a="1"/>
  <c r="J9" i="8" a="1"/>
  <c r="J15" i="8" a="1"/>
  <c r="J21" i="8" a="1"/>
  <c r="J11" i="8" a="1"/>
  <c r="J12" i="8" a="1"/>
  <c r="J13" i="8" a="1"/>
  <c r="J17" i="8" a="1"/>
  <c r="J14" i="8" a="1"/>
  <c r="J4" i="8" a="1"/>
  <c r="J10" i="8" a="1"/>
  <c r="J16" i="8" a="1"/>
  <c r="J22" i="8" a="1"/>
  <c r="J18" i="8" a="1"/>
  <c r="J7" i="8" a="1"/>
  <c r="J19" i="8" a="1"/>
  <c r="J20" i="8" a="1"/>
  <c r="J5" i="8" a="1"/>
  <c r="J6" i="8" a="1"/>
  <c r="J8" i="8" a="1"/>
  <c r="I3" i="8" a="1"/>
  <c r="I9" i="8" a="1"/>
  <c r="I15" i="8" a="1"/>
  <c r="I21" i="8" a="1"/>
  <c r="I11" i="8" a="1"/>
  <c r="I12" i="8" a="1"/>
  <c r="I7" i="8" a="1"/>
  <c r="I19" i="8" a="1"/>
  <c r="I14" i="8" a="1"/>
  <c r="I4" i="8" a="1"/>
  <c r="I10" i="8" a="1"/>
  <c r="I16" i="8" a="1"/>
  <c r="I22" i="8" a="1"/>
  <c r="I17" i="8" a="1"/>
  <c r="I18" i="8" a="1"/>
  <c r="I13" i="8" a="1"/>
  <c r="I8" i="8" a="1"/>
  <c r="I20" i="8" a="1"/>
  <c r="I5" i="8" a="1"/>
  <c r="I6" i="8" a="1"/>
  <c r="H3" i="8" a="1"/>
  <c r="H9" i="8" a="1"/>
  <c r="H15" i="8" a="1"/>
  <c r="H21" i="8" a="1"/>
  <c r="H10" i="8" a="1"/>
  <c r="H22" i="8" a="1"/>
  <c r="H11" i="8" a="1"/>
  <c r="H17" i="8" a="1"/>
  <c r="H12" i="8" a="1"/>
  <c r="H19" i="8" a="1"/>
  <c r="H8" i="8" a="1"/>
  <c r="H16" i="8" a="1"/>
  <c r="H18" i="8" a="1"/>
  <c r="H7" i="8" a="1"/>
  <c r="H14" i="8" a="1"/>
  <c r="H4" i="8" a="1"/>
  <c r="H13" i="8" a="1"/>
  <c r="H20" i="8" a="1"/>
  <c r="H5" i="8" a="1"/>
  <c r="H6" i="8" a="1"/>
  <c r="J8" i="8" l="1"/>
  <c r="J6" i="8"/>
  <c r="J5" i="8"/>
  <c r="J20" i="8"/>
  <c r="J19" i="8"/>
  <c r="J7" i="8"/>
  <c r="J18" i="8"/>
  <c r="J22" i="8"/>
  <c r="J16" i="8"/>
  <c r="J10" i="8"/>
  <c r="J4" i="8"/>
  <c r="J14" i="8"/>
  <c r="J17" i="8"/>
  <c r="J13" i="8"/>
  <c r="J12" i="8"/>
  <c r="J11" i="8"/>
  <c r="J21" i="8"/>
  <c r="J15" i="8"/>
  <c r="J9" i="8"/>
  <c r="J3" i="8"/>
  <c r="I6" i="8"/>
  <c r="I5" i="8"/>
  <c r="I20" i="8"/>
  <c r="I8" i="8"/>
  <c r="I13" i="8"/>
  <c r="I18" i="8"/>
  <c r="I17" i="8"/>
  <c r="I22" i="8"/>
  <c r="I16" i="8"/>
  <c r="I10" i="8"/>
  <c r="I4" i="8"/>
  <c r="I14" i="8"/>
  <c r="I19" i="8"/>
  <c r="I7" i="8"/>
  <c r="I12" i="8"/>
  <c r="I11" i="8"/>
  <c r="I21" i="8"/>
  <c r="I15" i="8"/>
  <c r="I9" i="8"/>
  <c r="I3" i="8"/>
  <c r="H6" i="8"/>
  <c r="H5" i="8"/>
  <c r="H20" i="8"/>
  <c r="H13" i="8"/>
  <c r="H4" i="8"/>
  <c r="H14" i="8"/>
  <c r="H7" i="8"/>
  <c r="H18" i="8"/>
  <c r="H16" i="8"/>
  <c r="H8" i="8"/>
  <c r="H19" i="8"/>
  <c r="H12" i="8"/>
  <c r="H17" i="8"/>
  <c r="H11" i="8"/>
  <c r="H22" i="8"/>
  <c r="H10" i="8"/>
  <c r="H21" i="8"/>
  <c r="H15" i="8"/>
  <c r="H9" i="8"/>
  <c r="H3" i="8"/>
  <c r="G6" i="8"/>
  <c r="G5" i="8"/>
  <c r="G8" i="8"/>
  <c r="G13" i="8"/>
  <c r="G18" i="8"/>
  <c r="G17" i="8"/>
  <c r="G22" i="8"/>
  <c r="G4" i="8"/>
  <c r="G20" i="8"/>
  <c r="G7" i="8"/>
  <c r="G12" i="8"/>
  <c r="G11" i="8"/>
  <c r="G16" i="8"/>
  <c r="G10" i="8"/>
  <c r="G14" i="8"/>
  <c r="G19" i="8"/>
  <c r="G21" i="8"/>
  <c r="G15" i="8"/>
  <c r="G9" i="8"/>
  <c r="G3" i="8"/>
  <c r="F14" i="8"/>
  <c r="F19" i="8"/>
  <c r="F18" i="8"/>
  <c r="F17" i="8"/>
  <c r="F4" i="8"/>
  <c r="F8" i="8"/>
  <c r="F13" i="8"/>
  <c r="F12" i="8"/>
  <c r="F5" i="8"/>
  <c r="F22" i="8"/>
  <c r="F16" i="8"/>
  <c r="F10" i="8"/>
  <c r="F20" i="8"/>
  <c r="F7" i="8"/>
  <c r="F6" i="8"/>
  <c r="F11" i="8"/>
  <c r="F21" i="8"/>
  <c r="F15" i="8"/>
  <c r="F9" i="8"/>
  <c r="F3" i="8"/>
  <c r="E21" i="8"/>
  <c r="E9" i="8"/>
  <c r="E14" i="8"/>
  <c r="E19" i="8"/>
  <c r="E7" i="8"/>
  <c r="E6" i="8"/>
  <c r="E11" i="8"/>
  <c r="E22" i="8"/>
  <c r="E4" i="8"/>
  <c r="E15" i="8"/>
  <c r="E20" i="8"/>
  <c r="E8" i="8"/>
  <c r="E13" i="8"/>
  <c r="E18" i="8"/>
  <c r="E12" i="8"/>
  <c r="E17" i="8"/>
  <c r="E5" i="8"/>
  <c r="E16" i="8"/>
  <c r="E10" i="8"/>
  <c r="E3"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<sst xmlns="http://schemas.openxmlformats.org/spreadsheetml/2006/main" count="124" uniqueCount="111">
  <si>
    <t>Features</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</si>
  <si>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</si>
  <si>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</si>
  <si>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</si>
  <si>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</si>
  <si>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</si>
  <si>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</si>
  <si>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</si>
  <si>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</si>
  <si>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</si>
  <si>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</si>
  <si>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</si>
  <si>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</si>
  <si>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</si>
  <si>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</si>
  <si>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</si>
  <si>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</si>
  <si>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</si>
  <si>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</si>
  <si>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</si>
  <si>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</si>
  <si>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</si>
  <si>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</si>
  <si>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</si>
  <si>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</si>
  <si>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</si>
  <si>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</si>
  <si>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</si>
  <si>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</si>
  <si>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</si>
  <si>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</si>
  <si>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</si>
  <si>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</si>
  <si>
    <t>• Caches responses in ~/Documents/OllamaCache.txt to avoid repeat calls (it's in "~/Library/Continers/Microsoft Excel/Data/Documents/OllamaCache.txt" on the Mac)</t>
  </si>
  <si>
    <t>• VBA-Web library for REST API calls (already included in the demo workbook)</t>
  </si>
  <si>
    <t>Story id</t>
  </si>
  <si>
    <t>Group</t>
  </si>
  <si>
    <t>Story</t>
  </si>
  <si>
    <t>Independent</t>
  </si>
  <si>
    <t>Valuable</t>
  </si>
  <si>
    <t>Estimable</t>
  </si>
  <si>
    <t>Negotiable</t>
  </si>
  <si>
    <t>Short</t>
  </si>
  <si>
    <t>Testable</t>
  </si>
  <si>
    <t>Account &amp; Billing Setup</t>
  </si>
  <si>
    <t>Title</t>
  </si>
  <si>
    <t>Subscription Signup</t>
  </si>
  <si>
    <t>As an account owner, I want to choose a subscription plan so that I can activate the system for my organization.</t>
  </si>
  <si>
    <t>SUB-002</t>
  </si>
  <si>
    <t>Billing Details</t>
  </si>
  <si>
    <t>As an account owner, I want to enter and save my payment details so that my subscription can be billed automatically.</t>
  </si>
  <si>
    <t>SUB-003</t>
  </si>
  <si>
    <t>View Current Plan</t>
  </si>
  <si>
    <t>As an account owner, I want to view my active subscription plan and billing tier so that I understand what features I have access to.</t>
  </si>
  <si>
    <t>SUB-004</t>
  </si>
  <si>
    <t>Plan Management</t>
  </si>
  <si>
    <t>Upgrade Plan</t>
  </si>
  <si>
    <t>As an account owner, I want to upgrade my subscription tier so that I can access additional features or higher usage limits.</t>
  </si>
  <si>
    <t>SUB-005</t>
  </si>
  <si>
    <t>Downgrade Plan</t>
  </si>
  <si>
    <t>As an account owner, I want to downgrade my subscription tier so that I only pay for the level of service I need.</t>
  </si>
  <si>
    <t>SUB-006</t>
  </si>
  <si>
    <t>Cancel Subscription</t>
  </si>
  <si>
    <t>As an account owner, I want to cancel my subscription so that I’m no longer billed.</t>
  </si>
  <si>
    <t>SUB-007</t>
  </si>
  <si>
    <t>Proration</t>
  </si>
  <si>
    <t>As an account owner, I want prorated charges/credits when changing plans so that billing is fair and transparent.</t>
  </si>
  <si>
    <t>SUB-008</t>
  </si>
  <si>
    <t>Billing &amp; Invoicing</t>
  </si>
  <si>
    <t>View Invoice History</t>
  </si>
  <si>
    <t>As an account owner, I want to view past invoices so that I can track billing and submit expenses.</t>
  </si>
  <si>
    <t>SUB-009</t>
  </si>
  <si>
    <t>Download Invoices</t>
  </si>
  <si>
    <t>As an account owner, I want to download invoices in PDF format so that I can keep financial records.</t>
  </si>
  <si>
    <t>SUB-010</t>
  </si>
  <si>
    <t>Billing Notifications</t>
  </si>
  <si>
    <t>As an account owner, I want to receive email notifications about upcoming payments or failed charges so that I can avoid service interruptions.</t>
  </si>
  <si>
    <t>SUB-011</t>
  </si>
  <si>
    <t>Usage / Limits</t>
  </si>
  <si>
    <t>Seat Management</t>
  </si>
  <si>
    <t>As an account owner, I want to see how many seats I’ve used and how many are remaining so that I can manage my team efficiently.</t>
  </si>
  <si>
    <t>SUB-012</t>
  </si>
  <si>
    <t>Over-Limit Alerts</t>
  </si>
  <si>
    <t>As an admin, I want to receive alerts when the organization approaches usage limits so that I can plan upgrades proactively.</t>
  </si>
  <si>
    <t>SUB-013</t>
  </si>
  <si>
    <t>Feature Access Enforcement</t>
  </si>
  <si>
    <t>As a user, I want certain features gated based on the subscription plan so that access aligns with our organization’s subscription.</t>
  </si>
  <si>
    <t>SUB-014</t>
  </si>
  <si>
    <t>Roles &amp; Access</t>
  </si>
  <si>
    <t>Billing Permissions</t>
  </si>
  <si>
    <t>As an admin, I want to designate who can update billing information so that financial access is controlled.</t>
  </si>
  <si>
    <t>SUB-015</t>
  </si>
  <si>
    <t>Subscription Viewer Access</t>
  </si>
  <si>
    <t>As a manager, I want read-only access to subscription details so that I can understand plan limits without modifying them.</t>
  </si>
  <si>
    <t>SUB-016</t>
  </si>
  <si>
    <t>Renewals &amp; Lifecycle</t>
  </si>
  <si>
    <t>Auto-Renew Toggle</t>
  </si>
  <si>
    <t>As an account owner, I want to enable or disable auto-renew so that I can control ongoing charges.</t>
  </si>
  <si>
    <t>SUB-017</t>
  </si>
  <si>
    <t>Trial Period</t>
  </si>
  <si>
    <t>As a new user, I want a free trial so that I can evaluate the system before committing.</t>
  </si>
  <si>
    <t>SUB-018</t>
  </si>
  <si>
    <t>Trial Expiration Reminder</t>
  </si>
  <si>
    <t>As a trial user, I want to receive a reminder before my trial ends so that I can decide whether to subscribe.</t>
  </si>
  <si>
    <t>SUB-019</t>
  </si>
  <si>
    <t>Compliance</t>
  </si>
  <si>
    <t>Tax Calculation</t>
  </si>
  <si>
    <t>As an account owner, I want taxes automatically calculated based on my location so that I stay compliant.</t>
  </si>
  <si>
    <t>SUB-020</t>
  </si>
  <si>
    <t>Business Information on Invoices</t>
  </si>
  <si>
    <t>As a finance officer, I want to enter my company’s tax and legal information so that invoices meet compliance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</si>
</sst>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applyAlignment="1">
      <alignment vertical="top" wrapText="1" indent="1"/>
    </xf>
    <xf numFmtId="0" fontId="2" fillId="2" borderId="0" xfId="0" applyFont="1" applyFill="1" applyAlignment="1">
      <alignment vertical="top" wrapText="1"/>
    </xf>
    <xf numFmtId="0" fontId="1" fillId="0" borderId="0" xfId="0" applyFont="1" applyAlignment="1">
      <alignment vertical="top" wrapText="1"/>
    </xf>
    <xf numFmtId="0" fontId="3" fillId="0" borderId="0" xfId="0" applyFont="1" applyAlignment="1">
      <alignment vertical="top" wrapText="1"/>
    </xf>
    <xf numFmtId="0" fontId="1" fillId="0" borderId="0" xfId="0" applyFont="1" applyAlignment="1">
      <alignment vertical="top" wrapText="1" indent="2"/>
    </xf>
    <xf numFmtId="0" fontId="4" fillId="3" borderId="0" xfId="0" applyFont="1" applyFill="1" applyAlignment="1">
      <alignment vertical="top" wrapText="1"/>
    </xf>
    <xf numFmtId="0" fontId="0" fillId="0" borderId="0" xfId="0" applyAlignment="1">
      <alignment vertical="top"/>
    </xf>
    <xf numFmtId="0" fontId="0" fillId="0" borderId="0" xfId="0" applyAlignment="1">
      <alignment vertical="top" wrapText="1"/>
    </xf>
  </cellXfs>
  <cellStyles count="1">
    <cellStyle name="Normal" xfId="0" builtinId="0"/>
  </cellStyles>
  <dxfs count="12">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5E1204-78D3-7049-A150-8F75269421C0}" name="Table1" displayName="Table1" ref="A2:J22" totalsRowShown="0" dataDxfId="10">
  <autoFilter ref="A2:J22" xr:uid="{F15E1204-78D3-7049-A150-8F75269421C0}"/>
  <tableColumns count="10">
    <tableColumn id="1" xr3:uid="{C992B11D-50FD-CD46-A070-0BE969E284F5}" name="Story id" dataDxfId="9"/>
    <tableColumn id="2" xr3:uid="{A2FAF9F2-2555-2A44-A301-E914EBC0DB76}" name="Group" dataDxfId="8"/>
    <tableColumn id="3" xr3:uid="{45678054-F3AB-6D42-AB5A-D12E698412C0}" name="Title" dataDxfId="7"/>
    <tableColumn id="4" xr3:uid="{F07557D0-9BBB-5842-9B13-EFBD42056AE8}" name="Story" dataDxfId="6"/>
    <tableColumn id="5" xr3:uid="{7B1AC909-8D50-7245-AB54-5E8A0757078A}" name="Independent" dataDxfId="5">
      <calculatedColumnFormula array="1">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calculatedColumnFormula>
    </tableColumn>
    <tableColumn id="6" xr3:uid="{7E4DFA06-6291-6746-BC70-F563E0154539}" name="Negotiable" dataDxfId="4">
      <calculatedColumnFormula array="1">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calculatedColumnFormula>
    </tableColumn>
    <tableColumn id="7" xr3:uid="{CE8952E6-964F-1546-810A-D8D83382D258}" name="Valuable" dataDxfId="3">
      <calculatedColumnFormula array="1">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calculatedColumnFormula>
    </tableColumn>
    <tableColumn id="8" xr3:uid="{92F02BF5-0BAB-0048-AE6D-7DC6FCFF4551}" name="Estimable" dataDxfId="2">
      <calculatedColumnFormula array="1">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calculatedColumnFormula>
    </tableColumn>
    <tableColumn id="9" xr3:uid="{A8BE837F-B536-384E-A242-BDCBEE6D80F7}" name="Short" dataDxfId="1">
      <calculatedColumnFormula array="1">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calculatedColumnFormula>
    </tableColumn>
    <tableColumn id="10" xr3:uid="{543583E3-FD91-0949-A6A5-AC606A581448}" name="Testable" dataDxfId="0">
      <calculatedColumnFormula array="1">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A2:J22"/>
  <sheetViews>
    <sheetView tabSelected="1" zoomScale="150" zoomScaleNormal="150" workbookViewId="0">
      <selection activeCell="D3" sqref="D3"/>
    </sheetView>
  </sheetViews>
  <sheetFormatPr baseColWidth="10" defaultRowHeight="15" x14ac:dyDescent="0.2"/>
  <cols>
    <col min="1" max="1" width="8.33203125" customWidth="1"/>
    <col min="2" max="2" width="19.33203125" bestFit="1" customWidth="1"/>
    <col min="3" max="3" width="16.5" bestFit="1" customWidth="1"/>
    <col min="4" max="4" width="37.6640625" customWidth="1"/>
    <col min="5" max="5" width="20.33203125" customWidth="1"/>
    <col min="6" max="6" width="17.1640625" customWidth="1"/>
    <col min="7" max="7" width="20.83203125" customWidth="1"/>
    <col min="8" max="8" width="21.83203125" customWidth="1"/>
    <col min="9" max="9" width="19.6640625" customWidth="1"/>
    <col min="10" max="10" width="21.1640625" customWidth="1"/>
  </cols>
  <sheetData>
    <row r="2" spans="1:10" x14ac:dyDescent="0.2">
      <c r="A2" t="s">
        <v>35</v>
      </c>
      <c r="B2" t="s">
        <v>36</v>
      </c>
      <c r="C2" t="s">
        <v>45</v>
      </c>
      <c r="D2" t="s">
        <v>37</v>
      </c>
      <c r="E2" t="s">
        <v>38</v>
      </c>
      <c r="F2" t="s">
        <v>41</v>
      </c>
      <c r="G2" t="s">
        <v>39</v>
      </c>
      <c r="H2" t="s">
        <v>40</v>
      </c>
      <c r="I2" t="s">
        <v>42</v>
      </c>
      <c r="J2" t="s">
        <v>43</v>
      </c>
    </row>
    <row r="3" spans="1:10" s="7" customFormat="1" ht="150" customHeight="1" x14ac:dyDescent="0.2">
      <c r="A3" s="7">
        <v>1</v>
      </c>
      <c r="B3" s="7" t="s">
        <v>44</v>
      </c>
      <c r="C3" s="7" t="s">
        <v>46</v>
      </c>
      <c r="D3" s="8" t="s">
        <v>47</v>
      </c>
      <c r="E3" s="8" t="str" cm="1">
        <f t="array" ref="E3">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This story relies on pre‚Äëexisting subscription plan definitions and activation logic, so it can‚Äôt deliver value on its own without other stories that set up those components.</v>
      </c>
      <c r="F3" s="8" t="str" cm="1">
        <f t="array" ref="F3">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3" s="8" t="str" cm="1">
        <f t="array" ref="G3">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3" s="8" t="str" cm="1">
        <f t="array" ref="H3">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lacks detail on the available subscription options, payment flow, UI design, and integration points, making it unclear how much effort is needed for implementation.</v>
      </c>
      <c r="I3" s="8" t="str" cm="1">
        <f t="array" ref="I3">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3" s="8" t="str" cm="1">
        <f t="array" ref="J3">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4" spans="1:10" ht="155" customHeight="1" x14ac:dyDescent="0.2">
      <c r="A4" s="7" t="s">
        <v>48</v>
      </c>
      <c r="B4" s="7" t="s">
        <v>44</v>
      </c>
      <c r="C4" s="7" t="s">
        <v>49</v>
      </c>
      <c r="D4" s="8" t="s">
        <v>50</v>
      </c>
      <c r="E4" s="8" t="str" cm="1">
        <f t="array" ref="E4">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4" s="8" t="str" cm="1">
        <f t="array" ref="F4">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4" s="8" t="str" cm="1">
        <f t="array" ref="G4">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4" s="8" t="str" cm="1">
        <f t="array" ref="H4">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lacks details such as payment provider (e.g., Stripe, PayPal), required data fields, security/compliance requirements, and how the data is stored or integrated, making it difficult to estimate effort.</v>
      </c>
      <c r="I4" s="8" t="str" cm="1">
        <f t="array" ref="I4">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4" s="8" t="str" cm="1">
        <f t="array" ref="J4">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5" spans="1:10" ht="128" x14ac:dyDescent="0.2">
      <c r="A5" s="7" t="s">
        <v>51</v>
      </c>
      <c r="B5" s="7" t="s">
        <v>44</v>
      </c>
      <c r="C5" s="7" t="s">
        <v>52</v>
      </c>
      <c r="D5" s="8" t="s">
        <v>53</v>
      </c>
      <c r="E5" s="8" t="str" cm="1">
        <f t="array" ref="E5">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5" s="8" t="str" cm="1">
        <f t="array" ref="F5">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5" s="8" t="str" cm="1">
        <f t="array" ref="G5">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5" s="8" t="str" cm="1">
        <f t="array" ref="H5">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5" s="8" t="str" cm="1">
        <f t="array" ref="I5">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5" s="8" t="str" cm="1">
        <f t="array" ref="J5">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6" spans="1:10" ht="128" x14ac:dyDescent="0.2">
      <c r="A6" s="7" t="s">
        <v>54</v>
      </c>
      <c r="B6" s="7" t="s">
        <v>55</v>
      </c>
      <c r="C6" s="7" t="s">
        <v>56</v>
      </c>
      <c r="D6" s="8" t="s">
        <v>57</v>
      </c>
      <c r="E6" s="8" t="str" cm="1">
        <f t="array" ref="E6">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6" s="8" t="str" cm="1">
        <f t="array" ref="F6">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6" s="8" t="str" cm="1">
        <f t="array" ref="G6">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6" s="8" t="str" cm="1">
        <f t="array" ref="H6">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lacks specific details (tiers, features, payment flow, UI/UX requirements, dependencies) needed to estimate effort.</v>
      </c>
      <c r="I6" s="8" t="str" cm="1">
        <f t="array" ref="I6">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6" s="8" t="str" cm="1">
        <f t="array" ref="J6">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‚Äì The story lacks measurable, observable outcomes or acceptance criteria; it only states a desire to upgrade without specifying which tier, which features, or how the limits change.</v>
      </c>
    </row>
    <row r="7" spans="1:10" ht="128" x14ac:dyDescent="0.2">
      <c r="A7" s="7" t="s">
        <v>58</v>
      </c>
      <c r="B7" s="7" t="s">
        <v>55</v>
      </c>
      <c r="C7" s="7" t="s">
        <v>59</v>
      </c>
      <c r="D7" s="8" t="s">
        <v>60</v>
      </c>
      <c r="E7" s="8" t="str" cm="1">
        <f t="array" ref="E7">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7" s="8" t="str" cm="1">
        <f t="array" ref="F7">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7" s="8" t="str" cm="1">
        <f t="array" ref="G7">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7" s="8" t="str" cm="1">
        <f t="array" ref="H7">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 unclear scope and missing details (number of tiers, billing logic, dependencies, data handling) make estimation difficult.</v>
      </c>
      <c r="I7" s="8" t="str" cm="1">
        <f t="array" ref="I7">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7" s="8" t="str" cm="1">
        <f t="array" ref="J7">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‚Äì The story lacks specific, measurable outcomes or acceptance criteria, so it cannot be directly verified.</v>
      </c>
    </row>
    <row r="8" spans="1:10" ht="160" x14ac:dyDescent="0.2">
      <c r="A8" s="7" t="s">
        <v>61</v>
      </c>
      <c r="B8" s="7" t="s">
        <v>55</v>
      </c>
      <c r="C8" s="7" t="s">
        <v>62</v>
      </c>
      <c r="D8" s="8" t="s">
        <v>63</v>
      </c>
      <c r="E8" s="8" t="str" cm="1">
        <f t="array" ref="E8">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‚Äì It depends on the existing subscription system; you cannot cancel without a subscription already in place.</v>
      </c>
      <c r="F8" s="8" t="str" cm="1">
        <f t="array" ref="F8">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8" s="8" t="str" cm="1">
        <f t="array" ref="G8">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8" s="8" t="str" cm="1">
        <f t="array" ref="H8">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lacks details on how cancellation is initiated, required confirmation steps, billing adjustments, or integration points, leaving major unknowns for estimation.</v>
      </c>
      <c r="I8" s="8" t="str" cm="1">
        <f t="array" ref="I8">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8" s="8" t="str" cm="1">
        <f t="array" ref="J8">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9" spans="1:10" ht="169" customHeight="1" x14ac:dyDescent="0.2">
      <c r="A9" s="7" t="s">
        <v>64</v>
      </c>
      <c r="B9" s="7" t="s">
        <v>55</v>
      </c>
      <c r="C9" s="7" t="s">
        <v>65</v>
      </c>
      <c r="D9" s="8" t="s">
        <v>66</v>
      </c>
      <c r="E9" s="8" t="str" cm="1">
        <f t="array" ref="E9">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9" s="8" t="str" cm="1">
        <f t="array" ref="F9">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9" s="8" t="str" cm="1">
        <f t="array" ref="G9">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9" s="8" t="str" cm="1">
        <f t="array" ref="H9">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is too vague to estimate: it doesn‚Äôt specify which billing system, the calculation rules for proration, the number of plan types, or dependencies on existing code or data, leaving major unknowns for effort.</v>
      </c>
      <c r="I9" s="8" t="str" cm="1">
        <f t="array" ref="I9">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9" s="8" t="str" cm="1">
        <f t="array" ref="J9">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0" spans="1:10" ht="151" customHeight="1" x14ac:dyDescent="0.2">
      <c r="A10" s="7" t="s">
        <v>67</v>
      </c>
      <c r="B10" s="7" t="s">
        <v>68</v>
      </c>
      <c r="C10" s="7" t="s">
        <v>69</v>
      </c>
      <c r="D10" s="8" t="s">
        <v>70</v>
      </c>
      <c r="E10" s="8" t="str" cm="1">
        <f t="array" ref="E10">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0" s="8" t="str" cm="1">
        <f t="array" ref="F10">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0" s="8" t="str" cm="1">
        <f t="array" ref="G10">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0" s="8" t="str" cm="1">
        <f t="array" ref="H10">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lacks specifics (e.g., number of invoices, pagination, filtering, UI details, data source, performance or integration constraints), so the team cannot estimate effort or complexity.</v>
      </c>
      <c r="I10" s="8" t="str" cm="1">
        <f t="array" ref="I10">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0" s="8" t="str" cm="1">
        <f t="array" ref="J10">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1" spans="1:10" ht="128" x14ac:dyDescent="0.2">
      <c r="A11" s="7" t="s">
        <v>71</v>
      </c>
      <c r="B11" s="7" t="s">
        <v>68</v>
      </c>
      <c r="C11" s="7" t="s">
        <v>72</v>
      </c>
      <c r="D11" s="8" t="s">
        <v>73</v>
      </c>
      <c r="E11" s="8" t="str" cm="1">
        <f t="array" ref="E11">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1" s="8" t="str" cm="1">
        <f t="array" ref="F11">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1" s="8" t="str" cm="1">
        <f t="array" ref="G11">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1" s="8" t="str" cm="1">
        <f t="array" ref="H11">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11" s="8" t="str" cm="1">
        <f t="array" ref="I11">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1" s="8" t="str" cm="1">
        <f t="array" ref="J11">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2" spans="1:10" ht="128" x14ac:dyDescent="0.2">
      <c r="A12" s="7" t="s">
        <v>74</v>
      </c>
      <c r="B12" s="7" t="s">
        <v>68</v>
      </c>
      <c r="C12" s="7" t="s">
        <v>75</v>
      </c>
      <c r="D12" s="8" t="s">
        <v>76</v>
      </c>
      <c r="E12" s="8" t="str" cm="1">
        <f t="array" ref="E12">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2" s="8" t="str" cm="1">
        <f t="array" ref="F12">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2" s="8" t="str" cm="1">
        <f t="array" ref="G12">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2" s="8" t="str" cm="1">
        <f t="array" ref="H12">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12" s="8" t="str" cm="1">
        <f t="array" ref="I12">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2" s="8" t="str" cm="1">
        <f t="array" ref="J12">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3" spans="1:10" ht="159" customHeight="1" x14ac:dyDescent="0.2">
      <c r="A13" s="7" t="s">
        <v>77</v>
      </c>
      <c r="B13" s="7" t="s">
        <v>78</v>
      </c>
      <c r="C13" s="7" t="s">
        <v>79</v>
      </c>
      <c r="D13" s="8" t="s">
        <v>80</v>
      </c>
      <c r="E13" s="8" t="str" cm="1">
        <f t="array" ref="E13">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3" s="8" t="str" cm="1">
        <f t="array" ref="F13">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3" s="8" t="str" cm="1">
        <f t="array" ref="G13">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3" s="8" t="str" cm="1">
        <f t="array" ref="H13">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lacks details on where the seat count should be displayed, how seat usage is tracked, data sources, and integration points, so the team cannot estimate effort without more specification.</v>
      </c>
      <c r="I13" s="8" t="str" cm="1">
        <f t="array" ref="I13">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3" s="8" t="str" cm="1">
        <f t="array" ref="J13">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4" spans="1:10" ht="177" customHeight="1" x14ac:dyDescent="0.2">
      <c r="A14" s="7" t="s">
        <v>81</v>
      </c>
      <c r="B14" s="7" t="s">
        <v>78</v>
      </c>
      <c r="C14" s="7" t="s">
        <v>82</v>
      </c>
      <c r="D14" s="8" t="s">
        <v>83</v>
      </c>
      <c r="E14" s="8" t="str" cm="1">
        <f t="array" ref="E14">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‚Äì This story relies on existing usage‚Äëtracking data and alert‚Äëdispatching mechanisms, so it can‚Äôt be delivered or provide value without those preceding components.</v>
      </c>
      <c r="F14" s="8" t="str" cm="1">
        <f t="array" ref="F14">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4" s="8" t="str" cm="1">
        <f t="array" ref="G14">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4" s="8" t="str" cm="1">
        <f t="array" ref="H14">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The story lacks concrete details such as specific usage metrics, threshold definitions, alert channels, and dependencies on existing monitoring/notification systems, making estimation difficult.</v>
      </c>
      <c r="I14" s="8" t="str" cm="1">
        <f t="array" ref="I14">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4" s="8" t="str" cm="1">
        <f t="array" ref="J14">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‚Äì The story lacks specific, measurable outcomes (e.g., threshold percentage, alert type, delivery method) and acceptance criteria, making it unclear how to verify the behavior.</v>
      </c>
    </row>
    <row r="15" spans="1:10" ht="199" customHeight="1" x14ac:dyDescent="0.2">
      <c r="A15" s="7" t="s">
        <v>84</v>
      </c>
      <c r="B15" s="7" t="s">
        <v>78</v>
      </c>
      <c r="C15" s="7" t="s">
        <v>85</v>
      </c>
      <c r="D15" s="8" t="s">
        <v>86</v>
      </c>
      <c r="E15" s="8" t="str" cm="1">
        <f t="array" ref="E15">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‚Äì This story depends on having subscription‚Äëplan data and a mechanism to store/access it, which would typically be implemented in another earlier story (e.g., setting up subscription plans or feature‚Äëflag infrastructure).</v>
      </c>
      <c r="F15" s="8" t="str" cm="1">
        <f t="array" ref="F15">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5" s="8" t="str" cm="1">
        <f t="array" ref="G15">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5" s="8" t="str" cm="1">
        <f t="array" ref="H15">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The story lacks details on which features, how many subscription plans, gating logic, integration points, and acceptance criteria, making it impossible to estimate effort.</v>
      </c>
      <c r="I15" s="8" t="str" cm="1">
        <f t="array" ref="I15">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5" s="8" t="str" cm="1">
        <f t="array" ref="J15">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6" spans="1:10" ht="168" customHeight="1" x14ac:dyDescent="0.2">
      <c r="A16" s="7" t="s">
        <v>87</v>
      </c>
      <c r="B16" s="7" t="s">
        <v>88</v>
      </c>
      <c r="C16" s="7" t="s">
        <v>89</v>
      </c>
      <c r="D16" s="8" t="s">
        <v>90</v>
      </c>
      <c r="E16" s="8" t="str" cm="1">
        <f t="array" ref="E16">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6" s="8" t="str" cm="1">
        <f t="array" ref="F16">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6" s="8" t="str" cm="1">
        <f t="array" ref="G16">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6" s="8" t="str" cm="1">
        <f t="array" ref="H16">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16" s="8" t="str" cm="1">
        <f t="array" ref="I16">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6" s="8" t="str" cm="1">
        <f t="array" ref="J16">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The story lacks explicit acceptance criteria or measurable outcomes; it only states a general ability to designate users, making it unclear how to verify success.</v>
      </c>
    </row>
    <row r="17" spans="1:10" ht="128" x14ac:dyDescent="0.2">
      <c r="A17" s="7" t="s">
        <v>91</v>
      </c>
      <c r="B17" s="7" t="s">
        <v>88</v>
      </c>
      <c r="C17" s="7" t="s">
        <v>92</v>
      </c>
      <c r="D17" s="8" t="s">
        <v>93</v>
      </c>
      <c r="E17" s="8" t="str" cm="1">
        <f t="array" ref="E17">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7" s="8" t="str" cm="1">
        <f t="array" ref="F17">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7" s="8" t="str" cm="1">
        <f t="array" ref="G17">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7" s="8" t="str" cm="1">
        <f t="array" ref="H17">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17" s="8" t="str" cm="1">
        <f t="array" ref="I17">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7" s="8" t="str" cm="1">
        <f t="array" ref="J17">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8" spans="1:10" ht="128" x14ac:dyDescent="0.2">
      <c r="A18" s="7" t="s">
        <v>94</v>
      </c>
      <c r="B18" s="7" t="s">
        <v>95</v>
      </c>
      <c r="C18" s="7" t="s">
        <v>96</v>
      </c>
      <c r="D18" s="8" t="s">
        <v>97</v>
      </c>
      <c r="E18" s="8" t="str" cm="1">
        <f t="array" ref="E18">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18" s="8" t="str" cm="1">
        <f t="array" ref="F18">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8" s="8" t="str" cm="1">
        <f t="array" ref="G18">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8" s="8" t="str" cm="1">
        <f t="array" ref="H18">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TRUE</v>
      </c>
      <c r="I18" s="8" t="str" cm="1">
        <f t="array" ref="I18">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8" s="8" t="str" cm="1">
        <f t="array" ref="J18">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19" spans="1:10" ht="171" customHeight="1" x14ac:dyDescent="0.2">
      <c r="A19" s="7" t="s">
        <v>98</v>
      </c>
      <c r="B19" s="7" t="s">
        <v>95</v>
      </c>
      <c r="C19" s="7" t="s">
        <v>99</v>
      </c>
      <c r="D19" s="8" t="s">
        <v>100</v>
      </c>
      <c r="E19" s="8" t="str" cm="1">
        <f t="array" ref="E19">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This story depends on having an existing user registration and payment/subscription infrastructure in place, so it cannot be developed and delivered on its own.</v>
      </c>
      <c r="F19" s="8" t="str" cm="1">
        <f t="array" ref="F19">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19" s="8" t="str" cm="1">
        <f t="array" ref="G19">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19" s="8" t="str" cm="1">
        <f t="array" ref="H19">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lacks details such as trial duration, included features, technical implementation, and dependencies, making it unclear enough for estimation.</v>
      </c>
      <c r="I19" s="8" t="str" cm="1">
        <f t="array" ref="I19">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19" s="8" t="str" cm="1">
        <f t="array" ref="J19">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‚Äì The story lacks measurable, verifiable outcomes (e.g., trial duration, cancellation process, system behavior), making it untestable as written.</v>
      </c>
    </row>
    <row r="20" spans="1:10" ht="133" customHeight="1" x14ac:dyDescent="0.2">
      <c r="A20" s="7" t="s">
        <v>101</v>
      </c>
      <c r="B20" s="7" t="s">
        <v>95</v>
      </c>
      <c r="C20" s="7" t="s">
        <v>102</v>
      </c>
      <c r="D20" s="8" t="s">
        <v>103</v>
      </c>
      <c r="E20" s="8" t="str" cm="1">
        <f t="array" ref="E20">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20" s="8" t="str" cm="1">
        <f t="array" ref="F20">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20" s="8" t="str" cm="1">
        <f t="array" ref="G20">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20" s="8" t="str" cm="1">
        <f t="array" ref="H20">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lacks specifics on reminder timing, delivery channel, frequency, and content, making it difficult to estimate effort without additional clarification.</v>
      </c>
      <c r="I20" s="8" t="str" cm="1">
        <f t="array" ref="I20">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20" s="8" t="str" cm="1">
        <f t="array" ref="J20">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row r="21" spans="1:10" ht="175" customHeight="1" x14ac:dyDescent="0.2">
      <c r="A21" s="7" t="s">
        <v>104</v>
      </c>
      <c r="B21" s="7" t="s">
        <v>105</v>
      </c>
      <c r="C21" s="7" t="s">
        <v>106</v>
      </c>
      <c r="D21" s="8" t="s">
        <v>107</v>
      </c>
      <c r="E21" s="8" t="str" cm="1">
        <f t="array" ref="E21">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FALSE: This story depends on having location detection and tax calculation mechanisms in place, which are typically covered by other stories. It can‚Äôt deliver value on its own.</v>
      </c>
      <c r="F21" s="8" t="str" cm="1">
        <f t="array" ref="F21">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21" s="8" t="str" cm="1">
        <f t="array" ref="G21">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21" s="8" t="str" cm="1">
        <f t="array" ref="H21">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‚Äì The story lacks detail on which taxes, how location is determined, the data source for tax rates, and integration points, leaving significant uncertainty for estimation.</v>
      </c>
      <c r="I21" s="8" t="str" cm="1">
        <f t="array" ref="I21">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21" s="8" t="str" cm="1">
        <f t="array" ref="J21">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FALSE ‚Äì The story lacks concrete, measurable outcomes or acceptance criteria, making it unclear how to verify that taxes are correctly calculated based on location.</v>
      </c>
    </row>
    <row r="22" spans="1:10" ht="177" customHeight="1" x14ac:dyDescent="0.2">
      <c r="A22" s="7" t="s">
        <v>108</v>
      </c>
      <c r="B22" s="7" t="s">
        <v>105</v>
      </c>
      <c r="C22" s="7" t="s">
        <v>109</v>
      </c>
      <c r="D22" s="8" t="s">
        <v>110</v>
      </c>
      <c r="E22" s="8" t="str" cm="1">
        <f t="array" ref="E22">OLLAMA(_xlfn._LONGTEXT("Task: Evaluate a user story against the INVEST criteria, focusing only on the “INDEPENDENT” requirement.
Instructions:
Given a user story provided, determine whether the story is INDEPENDENT—that is, the story can be developed and delivered without depen","ding heavily on other stories. It should stand on its own and not require sequencing with other work to provide value.
Output Rules:
If the story is INDEPENDENT → return TRUE
If the story is not INDEPENDENT → return FALSE followed by a brief explanatio","n of why (e.g., requires another story to be completed first, shares functionality/scope with another story, can’t deliver value on its own, etc.)
Input:"),Table1[[#This Row],[Story]],"gpt-oss")</f>
        <v>TRUE</v>
      </c>
      <c r="F22" s="8" t="str" cm="1">
        <f t="array" ref="F22">OLLAMA(_xlfn._LONGTEXT("Task: Evaluate a user story against the INVEST criteria, focusing only on the “NEGOTIABLE” requirement.
Instructions:
Given a user story provided, determine whether the story is NEGOTIABLE—that is, the story is not overly prescriptive or detailed, allowi","ng room for discussion, refinement, and collaboration between stakeholders and the development team.
Output Rules:
If the story is NEGOTIABLE → return TRUE
If the story is not NEGOTIABLE → return FALSE followed by a brief explanation of why (e.g., dict","ates implementation details, overly rigid requirements, specifies exact UI/technical steps, etc.)
Input:"),Table1[[#This Row],[Story]],"gpt-oss")</f>
        <v>TRUE</v>
      </c>
      <c r="G22" s="8" t="str" cm="1">
        <f t="array" ref="G22">OLLAMA(_xlfn._LONGTEXT("Task: Evaluate a user story against the INVEST criteria, focusing only on the “VALUABLE” requirement.
Instructions:
Given a user story provided, determine whether the story is VALUABLE—that is, it clearly delivers value to the user, customer, or business",". The story should express who benefits and why the functionality matters.
Output Rules:
If the story is VALUABLE → return TRUE
If the story is not VALUABLE → return FALSE followed by a brief explanation of why (e.g., no clear user value, unclear benef","iciary, internally-focused task without expressed value, etc.)
Input:"),Table1[[#This Row],[Story]],"gpt-oss")</f>
        <v>TRUE</v>
      </c>
      <c r="H22" s="8" t="str" cm="1">
        <f t="array" ref="H22">OLLAMA(_xlfn._LONGTEXT("Task: Evaluate a user story against the INVEST criteria, focusing only on the “ESTIMABLE” requirement.
Instructions:
Given a user story provided, determine whether the story is ESTIMABLE—that is, the story is clear enough that the team can estimate effor","t, complexity, or size without major unknowns or ambiguities.
Output Rules:
If the story is ESTIMABLE → return TRUE
If the story is not ESTIMABLE → return FALSE followed by a brief explanation of why (e.g., unclear scope, missing details needed for est","imation, dependencies unknown, technology undefined, etc.)
Input:"),Table1[[#This Row],[Story]],"gpt-oss")</f>
        <v>FALSE: The story lacks specific details about the required tax and legal fields, validation rules, data sources, or compliance checks, leaving the scope and effort unclear.</v>
      </c>
      <c r="I22" s="8" t="str" cm="1">
        <f t="array" ref="I22">OLLAMA(_xlfn._LONGTEXT("Task: Evaluate a user story against the INVEST criteria, focusing only on the “SHORT” requirement.
Instructions:
Given a user story provided as input, determine whether the story is SHORT—that is, concise, easy to read, and not overloaded with details or"," multiple requirements.
Output Rules:
If the story is SHORT → return TRUE
If the story is not SHORT → return FALSE followed by a brief explanation of why (e.g., too long, includes multiple features, overly detailed, etc.)
Input:"),Table1[[#This Row],[Story]],"gpt-oss")</f>
        <v>TRUE</v>
      </c>
      <c r="J22" s="8" t="str" cm="1">
        <f t="array" ref="J22">OLLAMA(_xlfn._LONGTEXT("Task: Evaluate a user story against the INVEST criteria, focusing only on the “TESTABLE” requirement.
Instructions:
Given a user story provided, determine whether the story is TESTABLE—that is, it includes behavior or outcomes that can be verified throug","h acceptance criteria, tests, or observable results.
Output Rules:
If the story is TESTABLE → return TRUE
If the story is not TESTABLE → return FALSE followed by a brief explanation of why (e.g., vague outcome, no measurable behavior, subjective wordin","g, missing acceptance criteria, etc.)
Input:"),Table1[[#This Row],[Story]],"gpt-oss")</f>
        <v>TRUE</v>
      </c>
    </row>
  </sheetData>
  <conditionalFormatting sqref="E3:J22">
    <cfRule type="notContainsText" dxfId="11" priority="1" operator="notContains" text="TRUE">
      <formula>ISERROR(SEARCH("TRUE",E3))</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6" t="s">
        <v>25</v>
      </c>
    </row>
    <row r="3" spans="1:1" ht="96" x14ac:dyDescent="0.2">
      <c r="A3" s="3" t="s">
        <v>32</v>
      </c>
    </row>
    <row r="5" spans="1:1" ht="20" x14ac:dyDescent="0.2">
      <c r="A5" s="2" t="s">
        <v>0</v>
      </c>
    </row>
    <row r="7" spans="1:1" ht="16" x14ac:dyDescent="0.2">
      <c r="A7" s="1" t="s">
        <v>24</v>
      </c>
    </row>
    <row r="8" spans="1:1" ht="16" x14ac:dyDescent="0.2">
      <c r="A8" s="1" t="s">
        <v>23</v>
      </c>
    </row>
    <row r="9" spans="1:1" ht="16" x14ac:dyDescent="0.2">
      <c r="A9" s="1" t="s">
        <v>22</v>
      </c>
    </row>
    <row r="10" spans="1:1" ht="16" x14ac:dyDescent="0.2">
      <c r="A10" s="1" t="s">
        <v>21</v>
      </c>
    </row>
    <row r="11" spans="1:1" ht="16" x14ac:dyDescent="0.2">
      <c r="A11" s="1" t="s">
        <v>20</v>
      </c>
    </row>
    <row r="12" spans="1:1" ht="16" x14ac:dyDescent="0.2">
      <c r="A12" s="1" t="s">
        <v>19</v>
      </c>
    </row>
    <row r="14" spans="1:1" ht="20" x14ac:dyDescent="0.2">
      <c r="A14" s="2" t="s">
        <v>18</v>
      </c>
    </row>
    <row r="16" spans="1:1" ht="17" x14ac:dyDescent="0.2">
      <c r="A16" s="4" t="s">
        <v>17</v>
      </c>
    </row>
    <row r="17" spans="1:1" ht="16" x14ac:dyDescent="0.2">
      <c r="A17" s="3" t="s">
        <v>16</v>
      </c>
    </row>
    <row r="19" spans="1:1" ht="16" x14ac:dyDescent="0.2">
      <c r="A19" s="1" t="s">
        <v>15</v>
      </c>
    </row>
    <row r="20" spans="1:1" ht="16" x14ac:dyDescent="0.2">
      <c r="A20" s="5" t="s">
        <v>14</v>
      </c>
    </row>
    <row r="21" spans="1:1" ht="16" x14ac:dyDescent="0.2">
      <c r="A21" s="5" t="s">
        <v>13</v>
      </c>
    </row>
    <row r="22" spans="1:1" ht="16" x14ac:dyDescent="0.2">
      <c r="A22" s="5" t="s">
        <v>12</v>
      </c>
    </row>
    <row r="24" spans="1:1" ht="16" x14ac:dyDescent="0.2">
      <c r="A24" s="1" t="s">
        <v>26</v>
      </c>
    </row>
    <row r="25" spans="1:1" ht="16" x14ac:dyDescent="0.2">
      <c r="A25" s="5" t="str">
        <f>OLLAMA("Summarize this in 3 words", A1:A10)</f>
        <v>Excel Ollama Integration</v>
      </c>
    </row>
    <row r="26" spans="1:1" ht="16" x14ac:dyDescent="0.2">
      <c r="A26" s="5" t="str">
        <f>OLLAMA("What is the capital of France?")</f>
        <v>The capital of France is Paris.</v>
      </c>
    </row>
    <row r="27" spans="1:1" ht="409.6" x14ac:dyDescent="0.2">
      <c r="A27" s="5"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5" t="str">
        <f>OLLAMA("Translate to Spanish: Hello", A1, "mistral")</f>
        <v>Is Ollama installed and running mistral? https://ollama.com. Error: 404 - {"error":"model 'mistral' not found"}</v>
      </c>
    </row>
    <row r="30" spans="1:1" ht="17" x14ac:dyDescent="0.2">
      <c r="A30" s="4" t="s">
        <v>11</v>
      </c>
    </row>
    <row r="31" spans="1:1" ht="16" x14ac:dyDescent="0.2">
      <c r="A31" s="3" t="s">
        <v>10</v>
      </c>
    </row>
    <row r="33" spans="1:1" ht="20" x14ac:dyDescent="0.2">
      <c r="A33" s="2" t="s">
        <v>9</v>
      </c>
    </row>
    <row r="35" spans="1:1" ht="16" x14ac:dyDescent="0.2">
      <c r="A35" s="1" t="s">
        <v>8</v>
      </c>
    </row>
    <row r="36" spans="1:1" ht="16" x14ac:dyDescent="0.2">
      <c r="A36" s="1" t="s">
        <v>7</v>
      </c>
    </row>
    <row r="37" spans="1:1" ht="16" x14ac:dyDescent="0.2">
      <c r="A37" s="1" t="s">
        <v>34</v>
      </c>
    </row>
    <row r="39" spans="1:1" ht="20" x14ac:dyDescent="0.2">
      <c r="A39" s="2" t="s">
        <v>6</v>
      </c>
    </row>
    <row r="41" spans="1:1" ht="16" x14ac:dyDescent="0.2">
      <c r="A41" s="1" t="s">
        <v>5</v>
      </c>
    </row>
    <row r="42" spans="1:1" ht="16" x14ac:dyDescent="0.2">
      <c r="A42" s="1" t="s">
        <v>27</v>
      </c>
    </row>
    <row r="43" spans="1:1" ht="32" x14ac:dyDescent="0.2">
      <c r="A43" s="1" t="s">
        <v>28</v>
      </c>
    </row>
    <row r="44" spans="1:1" ht="16" x14ac:dyDescent="0.2">
      <c r="A44" s="1" t="s">
        <v>29</v>
      </c>
    </row>
    <row r="45" spans="1:1" ht="16" x14ac:dyDescent="0.2">
      <c r="A45" s="1" t="s">
        <v>30</v>
      </c>
    </row>
    <row r="46" spans="1:1" ht="16" x14ac:dyDescent="0.2">
      <c r="A46" s="1" t="s">
        <v>31</v>
      </c>
    </row>
    <row r="48" spans="1:1" ht="20" x14ac:dyDescent="0.2">
      <c r="A48" s="2" t="s">
        <v>4</v>
      </c>
    </row>
    <row r="50" spans="1:1" ht="16" x14ac:dyDescent="0.2">
      <c r="A50" s="1" t="s">
        <v>3</v>
      </c>
    </row>
    <row r="51" spans="1:1" ht="32" x14ac:dyDescent="0.2">
      <c r="A51" s="1" t="s">
        <v>33</v>
      </c>
    </row>
    <row r="52" spans="1:1" ht="16" x14ac:dyDescent="0.2">
      <c r="A52" s="1" t="s">
        <v>2</v>
      </c>
    </row>
    <row r="53" spans="1:1" ht="16" x14ac:dyDescent="0.2">
      <c r="A53" s="1" t="s">
        <v>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User Stories</vt:lpstr>
      <vt:lpstr>README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2025-11-15T12:17:41Z</dcterms:modified>
</cp:coreProperties>
</file>