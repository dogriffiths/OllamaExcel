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F4471F08-FB35-CE48-B0F2-54CC3F08DA29}" xr6:coauthVersionLast="47" xr6:coauthVersionMax="47" xr10:uidLastSave="{00000000-0000-0000-0000-000000000000}"/>
  <bookViews>
    <workbookView xWindow="0" yWindow="500" windowWidth="38400" windowHeight="21100" xr2:uid="{00000000-000D-0000-FFFF-FFFF00000000}"/>
  </bookViews>
  <sheets>
    <sheet name="User Stories" sheetId="8" r:id="rId1"/>
    <sheet name="README" sheetId="12" r:id="rId2"/>
  </sheets>
  <functionGroups builtInGroupCount="19"/>
  <definedNames>
    <definedName name="_xleta.AND" hidden="1" xlm="1">#NAME?</definedName>
    <definedName name="_xleta.IF"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2" l="1"/>
  <c r="A28" i="12"/>
  <c r="A25" i="12"/>
  <c r="A27" i="12"/>
  <c r="I21" i="8" a="1"/>
  <c r="F22" i="8" a="1"/>
  <c r="I5" i="8" a="1"/>
  <c r="F8" i="8" a="1"/>
  <c r="H9" i="8" a="1"/>
  <c r="E20" i="8" a="1"/>
  <c r="H20" i="8" a="1"/>
  <c r="I20" i="8" a="1"/>
  <c r="J19" i="8" a="1"/>
  <c r="I16" i="8" a="1"/>
  <c r="E3" i="8" a="1"/>
  <c r="E15" i="8" a="1"/>
  <c r="J8" i="8" a="1"/>
  <c r="G9" i="8" a="1"/>
  <c r="H18" i="8" a="1"/>
  <c r="G20" i="8" a="1"/>
  <c r="E21" i="8" a="1"/>
  <c r="H3" i="8" a="1"/>
  <c r="J13" i="8" a="1"/>
  <c r="J21" i="8" a="1"/>
  <c r="E7" i="8" a="1"/>
  <c r="J4" i="8" a="1"/>
  <c r="E16" i="8" a="1"/>
  <c r="I10" i="8" a="1"/>
  <c r="G6" i="8" a="1"/>
  <c r="E13" i="8" a="1"/>
  <c r="J11" i="8" a="1"/>
  <c r="G21" i="8" a="1"/>
  <c r="E12" i="8" a="1"/>
  <c r="F12" i="8" a="1"/>
  <c r="G17" i="8" a="1"/>
  <c r="E22" i="8" a="1"/>
  <c r="H14" i="8" a="1"/>
  <c r="H21" i="8" a="1"/>
  <c r="J9" i="8" a="1"/>
  <c r="F20" i="8" a="1"/>
  <c r="G4" i="8" a="1"/>
  <c r="G12" i="8" a="1"/>
  <c r="H7" i="8" a="1"/>
  <c r="H10" i="8" a="1"/>
  <c r="E11" i="8" a="1"/>
  <c r="H11" i="8" a="1"/>
  <c r="H12" i="8" a="1"/>
  <c r="J18" i="8" a="1"/>
  <c r="I12" i="8" a="1"/>
  <c r="J6" i="8" a="1"/>
  <c r="G22" i="8" a="1"/>
  <c r="J10" i="8" a="1"/>
  <c r="J17" i="8" a="1"/>
  <c r="G19" i="8" a="1"/>
  <c r="I6" i="8" a="1"/>
  <c r="F9" i="8" a="1"/>
  <c r="G16" i="8" a="1"/>
  <c r="H13" i="8" a="1"/>
  <c r="I3" i="8" a="1"/>
  <c r="H15" i="8" a="1"/>
  <c r="G7" i="8" a="1"/>
  <c r="I11" i="8" a="1"/>
  <c r="I17" i="8" a="1"/>
  <c r="H19" i="8" a="1"/>
  <c r="H6" i="8" a="1"/>
  <c r="F15" i="8" a="1"/>
  <c r="I7" i="8" a="1"/>
  <c r="F4" i="8" a="1"/>
  <c r="G15" i="8" a="1"/>
  <c r="E18" i="8" a="1"/>
  <c r="I19" i="8" a="1"/>
  <c r="H8" i="8" a="1"/>
  <c r="I18" i="8" a="1"/>
  <c r="G5" i="8" a="1"/>
  <c r="H4" i="8" a="1"/>
  <c r="I15" i="8" a="1"/>
  <c r="G8" i="8" a="1"/>
  <c r="F18" i="8" a="1"/>
  <c r="E8" i="8" a="1"/>
  <c r="F6" i="8" a="1"/>
  <c r="E17" i="8" a="1"/>
  <c r="G18" i="8" a="1"/>
  <c r="J7" i="8" a="1"/>
  <c r="J20" i="8" a="1"/>
  <c r="E5" i="8" a="1"/>
  <c r="J5" i="8" a="1"/>
  <c r="I8" i="8" a="1"/>
  <c r="J3" i="8" a="1"/>
  <c r="F13" i="8" a="1"/>
  <c r="I4" i="8" a="1"/>
  <c r="F10" i="8" a="1"/>
  <c r="F11" i="8" a="1"/>
  <c r="I14" i="8" a="1"/>
  <c r="F21" i="8" a="1"/>
  <c r="H5" i="8" a="1"/>
  <c r="E14" i="8" a="1"/>
  <c r="J15" i="8" a="1"/>
  <c r="G13" i="8" a="1"/>
  <c r="E6" i="8" a="1"/>
  <c r="E19" i="8" a="1"/>
  <c r="H16" i="8" a="1"/>
  <c r="G11" i="8" a="1"/>
  <c r="J14" i="8" a="1"/>
  <c r="J16" i="8" a="1"/>
  <c r="F3" i="8" a="1"/>
  <c r="I13" i="8" a="1"/>
  <c r="F7" i="8" a="1"/>
  <c r="G10" i="8" a="1"/>
  <c r="F14" i="8" a="1"/>
  <c r="E4" i="8" a="1"/>
  <c r="I22" i="8" a="1"/>
  <c r="F5" i="8" a="1"/>
  <c r="F19" i="8" a="1"/>
  <c r="E9" i="8" a="1"/>
  <c r="F16" i="8" a="1"/>
  <c r="H17" i="8" a="1"/>
  <c r="J22" i="8" a="1"/>
  <c r="G3" i="8" a="1"/>
  <c r="I9" i="8" a="1"/>
  <c r="J12" i="8" a="1"/>
  <c r="F17" i="8" a="1"/>
  <c r="G14" i="8" a="1"/>
  <c r="H22" i="8" a="1"/>
  <c r="E10" i="8" a="1"/>
  <c r="J8" i="8" l="1"/>
  <c r="J6" i="8"/>
  <c r="J5" i="8"/>
  <c r="J20" i="8"/>
  <c r="J19" i="8"/>
  <c r="J7" i="8"/>
  <c r="J18" i="8"/>
  <c r="J22" i="8"/>
  <c r="J16" i="8"/>
  <c r="J10" i="8"/>
  <c r="J4" i="8"/>
  <c r="J14" i="8"/>
  <c r="J17" i="8"/>
  <c r="J13" i="8"/>
  <c r="J12" i="8"/>
  <c r="J11" i="8"/>
  <c r="J21" i="8"/>
  <c r="J15" i="8"/>
  <c r="J9" i="8"/>
  <c r="J3" i="8"/>
  <c r="I6" i="8"/>
  <c r="I5" i="8"/>
  <c r="I20" i="8"/>
  <c r="I8" i="8"/>
  <c r="I13" i="8"/>
  <c r="I18" i="8"/>
  <c r="I17" i="8"/>
  <c r="I22" i="8"/>
  <c r="I16" i="8"/>
  <c r="I10" i="8"/>
  <c r="I4" i="8"/>
  <c r="I14" i="8"/>
  <c r="I19" i="8"/>
  <c r="I7" i="8"/>
  <c r="I12" i="8"/>
  <c r="I11" i="8"/>
  <c r="I21" i="8"/>
  <c r="I15" i="8"/>
  <c r="I9" i="8"/>
  <c r="I3" i="8"/>
  <c r="H6" i="8"/>
  <c r="H5" i="8"/>
  <c r="H20" i="8"/>
  <c r="H13" i="8"/>
  <c r="H4" i="8"/>
  <c r="H14" i="8"/>
  <c r="H7" i="8"/>
  <c r="H18" i="8"/>
  <c r="H16" i="8"/>
  <c r="H8" i="8"/>
  <c r="H19" i="8"/>
  <c r="H12" i="8"/>
  <c r="H17" i="8"/>
  <c r="H11" i="8"/>
  <c r="H22" i="8"/>
  <c r="H10" i="8"/>
  <c r="H21" i="8"/>
  <c r="H15" i="8"/>
  <c r="H9" i="8"/>
  <c r="H3" i="8"/>
  <c r="G6" i="8"/>
  <c r="G5" i="8"/>
  <c r="G8" i="8"/>
  <c r="G13" i="8"/>
  <c r="G18" i="8"/>
  <c r="G17" i="8"/>
  <c r="G22" i="8"/>
  <c r="G4" i="8"/>
  <c r="G20" i="8"/>
  <c r="G7" i="8"/>
  <c r="G12" i="8"/>
  <c r="G11" i="8"/>
  <c r="G16" i="8"/>
  <c r="G10" i="8"/>
  <c r="G14" i="8"/>
  <c r="G19" i="8"/>
  <c r="G21" i="8"/>
  <c r="G15" i="8"/>
  <c r="G9" i="8"/>
  <c r="G3" i="8"/>
  <c r="F14" i="8"/>
  <c r="F19" i="8"/>
  <c r="F18" i="8"/>
  <c r="F17" i="8"/>
  <c r="F4" i="8"/>
  <c r="F8" i="8"/>
  <c r="F13" i="8"/>
  <c r="F12" i="8"/>
  <c r="F5" i="8"/>
  <c r="F22" i="8"/>
  <c r="F16" i="8"/>
  <c r="F10" i="8"/>
  <c r="F20" i="8"/>
  <c r="F7" i="8"/>
  <c r="F6" i="8"/>
  <c r="F11" i="8"/>
  <c r="F21" i="8"/>
  <c r="F15" i="8"/>
  <c r="F9" i="8"/>
  <c r="F3" i="8"/>
  <c r="E21" i="8"/>
  <c r="E9" i="8"/>
  <c r="E14" i="8"/>
  <c r="E19" i="8"/>
  <c r="E7" i="8"/>
  <c r="E6" i="8"/>
  <c r="E11" i="8"/>
  <c r="E22" i="8"/>
  <c r="E4" i="8"/>
  <c r="E15" i="8"/>
  <c r="E20" i="8"/>
  <c r="E8" i="8"/>
  <c r="E13" i="8"/>
  <c r="E18" i="8"/>
  <c r="E12" i="8"/>
  <c r="E17" i="8"/>
  <c r="E5" i="8"/>
  <c r="E16" i="8"/>
  <c r="E10" i="8"/>
  <c r="E3"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<sst xmlns="http://schemas.openxmlformats.org/spreadsheetml/2006/main" count="124" uniqueCount="111">
  <si>
    <t>Features</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</si>
  <si>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</si>
  <si>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</si>
  <si>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</si>
  <si>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</si>
  <si>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</si>
  <si>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</si>
  <si>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</si>
  <si>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</si>
  <si>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</si>
  <si>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</si>
  <si>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</si>
  <si>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</si>
  <si>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</si>
  <si>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</si>
  <si>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</si>
  <si>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</si>
  <si>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</si>
  <si>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</si>
  <si>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</si>
  <si>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</si>
  <si>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</si>
  <si>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</si>
  <si>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</si>
  <si>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</si>
  <si>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</si>
  <si>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</si>
  <si>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</si>
  <si>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</si>
  <si>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</si>
  <si>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</si>
  <si>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</si>
  <si>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</si>
  <si>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</si>
  <si>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</si>
  <si>
    <t>Story id</t>
  </si>
  <si>
    <t>Group</t>
  </si>
  <si>
    <t>Story</t>
  </si>
  <si>
    <t>Independent</t>
  </si>
  <si>
    <t>Valuable</t>
  </si>
  <si>
    <t>Estimable</t>
  </si>
  <si>
    <t>Negotiable</t>
  </si>
  <si>
    <t>Short</t>
  </si>
  <si>
    <t>Testable</t>
  </si>
  <si>
    <t>Account &amp; Billing Setup</t>
  </si>
  <si>
    <t>Title</t>
  </si>
  <si>
    <t>Subscription Signup</t>
  </si>
  <si>
    <t>SUB-002</t>
  </si>
  <si>
    <t>Billing Details</t>
  </si>
  <si>
    <t>SUB-003</t>
  </si>
  <si>
    <t>View Current Plan</t>
  </si>
  <si>
    <t>As an account owner, I want to view my active subscription plan and billing tier so that I understand what features I have access to.</t>
  </si>
  <si>
    <t>SUB-004</t>
  </si>
  <si>
    <t>Plan Management</t>
  </si>
  <si>
    <t>Upgrade Plan</t>
  </si>
  <si>
    <t>As an account owner, I want to upgrade my subscription tier so that I can access additional features or higher usage limits.</t>
  </si>
  <si>
    <t>SUB-005</t>
  </si>
  <si>
    <t>Downgrade Plan</t>
  </si>
  <si>
    <t>SUB-006</t>
  </si>
  <si>
    <t>Cancel Subscription</t>
  </si>
  <si>
    <t>As an account owner, I want to cancel my subscription so that I’m no longer billed.</t>
  </si>
  <si>
    <t>SUB-007</t>
  </si>
  <si>
    <t>Proration</t>
  </si>
  <si>
    <t>As an account owner, I want prorated charges/credits when changing plans so that billing is fair and transparent.</t>
  </si>
  <si>
    <t>SUB-008</t>
  </si>
  <si>
    <t>Billing &amp; Invoicing</t>
  </si>
  <si>
    <t>View Invoice History</t>
  </si>
  <si>
    <t>As an account owner, I want to view past invoices so that I can track billing and submit expenses.</t>
  </si>
  <si>
    <t>SUB-009</t>
  </si>
  <si>
    <t>Download Invoices</t>
  </si>
  <si>
    <t>SUB-010</t>
  </si>
  <si>
    <t>Billing Notifications</t>
  </si>
  <si>
    <t>As an account owner, I want to receive email notifications about upcoming payments or failed charges so that I can avoid service interruptions.</t>
  </si>
  <si>
    <t>SUB-011</t>
  </si>
  <si>
    <t>Usage / Limits</t>
  </si>
  <si>
    <t>Seat Management</t>
  </si>
  <si>
    <t>As an account owner, I want to see how many seats I’ve used and how many are remaining so that I can manage my team efficiently.</t>
  </si>
  <si>
    <t>SUB-012</t>
  </si>
  <si>
    <t>Over-Limit Alerts</t>
  </si>
  <si>
    <t>As an admin, I want to receive alerts when the organization approaches usage limits so that I can plan upgrades proactively.</t>
  </si>
  <si>
    <t>SUB-013</t>
  </si>
  <si>
    <t>Feature Access Enforcement</t>
  </si>
  <si>
    <t>As a user, I want certain features gated based on the subscription plan so that access aligns with our organization’s subscription.</t>
  </si>
  <si>
    <t>SUB-014</t>
  </si>
  <si>
    <t>Roles &amp; Access</t>
  </si>
  <si>
    <t>Billing Permissions</t>
  </si>
  <si>
    <t>As an admin, I want to designate who can update billing information so that financial access is controlled.</t>
  </si>
  <si>
    <t>SUB-015</t>
  </si>
  <si>
    <t>Subscription Viewer Access</t>
  </si>
  <si>
    <t>As a manager, I want read-only access to subscription details so that I can understand plan limits without modifying them.</t>
  </si>
  <si>
    <t>SUB-016</t>
  </si>
  <si>
    <t>Renewals &amp; Lifecycle</t>
  </si>
  <si>
    <t>Auto-Renew Toggle</t>
  </si>
  <si>
    <t>As an account owner, I want to enable or disable auto-renew so that I can control ongoing charges.</t>
  </si>
  <si>
    <t>SUB-017</t>
  </si>
  <si>
    <t>Trial Period</t>
  </si>
  <si>
    <t>As a new user, I want a free trial so that I can evaluate the system before committing.</t>
  </si>
  <si>
    <t>SUB-018</t>
  </si>
  <si>
    <t>Trial Expiration Reminder</t>
  </si>
  <si>
    <t>As a trial user, I want to receive a reminder before my trial ends so that I can decide whether to subscribe.</t>
  </si>
  <si>
    <t>SUB-019</t>
  </si>
  <si>
    <t>Compliance</t>
  </si>
  <si>
    <t>Tax Calculation</t>
  </si>
  <si>
    <t>As an account owner, I want taxes automatically calculated based on my location so that I stay compliant.</t>
  </si>
  <si>
    <t>SUB-020</t>
  </si>
  <si>
    <t>Business Information on Invoices</t>
  </si>
  <si>
    <t>As a finance officer, I want to enter my company’s tax and legal information so that invoices meet compliance requirements</t>
  </si>
  <si>
    <t>As an account owner, I want to downgrade my subscription tier, so that I only pay for the level of service I need.</t>
  </si>
  <si>
    <t>As an account owner, I want to enter and save my payment details, so that my subscription can be billed automatically.</t>
  </si>
  <si>
    <t>As an account owner, I want to choose a subscription plan, so that I can activate the system for my organization.</t>
  </si>
  <si>
    <t>As an account owner, I want to download invoices in PDF format, so that I can keep financial records.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</si>
</sst>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vertical="top" wrapText="1" indent="1"/>
    </xf>
    <xf numFmtId="0" fontId="2" fillId="2" borderId="0" xfId="0" applyFont="1" applyFill="1" applyAlignment="1">
      <alignment vertical="top" wrapText="1"/>
    </xf>
    <xf numFmtId="0" fontId="1" fillId="0" borderId="0" xfId="0" applyFont="1" applyAlignment="1">
      <alignment vertical="top" wrapText="1"/>
    </xf>
    <xf numFmtId="0" fontId="3" fillId="0" borderId="0" xfId="0" applyFont="1" applyAlignment="1">
      <alignment vertical="top" wrapText="1"/>
    </xf>
    <xf numFmtId="0" fontId="1" fillId="0" borderId="0" xfId="0" applyFont="1" applyAlignment="1">
      <alignment vertical="top" wrapText="1" indent="2"/>
    </xf>
    <xf numFmtId="0" fontId="4" fillId="3" borderId="0" xfId="0" applyFont="1" applyFill="1" applyAlignment="1">
      <alignment vertical="top" wrapText="1"/>
    </xf>
    <xf numFmtId="0" fontId="0" fillId="0" borderId="0" xfId="0" applyAlignment="1">
      <alignment vertical="top"/>
    </xf>
    <xf numFmtId="0" fontId="0" fillId="0" borderId="0" xfId="0" applyAlignment="1">
      <alignment vertical="top" wrapText="1"/>
    </xf>
  </cellXfs>
  <cellStyles count="1">
    <cellStyle name="Normal" xfId="0" builtinId="0"/>
  </cellStyles>
  <dxfs count="12">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E1204-78D3-7049-A150-8F75269421C0}" name="Table1" displayName="Table1" ref="A2:J22" totalsRowShown="0" dataDxfId="10">
  <autoFilter ref="A2:J22" xr:uid="{F15E1204-78D3-7049-A150-8F75269421C0}"/>
  <tableColumns count="10">
    <tableColumn id="1" xr3:uid="{C992B11D-50FD-CD46-A070-0BE969E284F5}" name="Story id" dataDxfId="9"/>
    <tableColumn id="2" xr3:uid="{A2FAF9F2-2555-2A44-A301-E914EBC0DB76}" name="Group" dataDxfId="8"/>
    <tableColumn id="3" xr3:uid="{45678054-F3AB-6D42-AB5A-D12E698412C0}" name="Title" dataDxfId="7"/>
    <tableColumn id="4" xr3:uid="{F07557D0-9BBB-5842-9B13-EFBD42056AE8}" name="Story" dataDxfId="6"/>
    <tableColumn id="5" xr3:uid="{7B1AC909-8D50-7245-AB54-5E8A0757078A}" name="Independent" dataDxfId="5">
      <calculatedColumnFormula array="1">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calculatedColumnFormula>
    </tableColumn>
    <tableColumn id="6" xr3:uid="{7E4DFA06-6291-6746-BC70-F563E0154539}" name="Negotiable" dataDxfId="4">
      <calculatedColumnFormula array="1">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calculatedColumnFormula>
    </tableColumn>
    <tableColumn id="7" xr3:uid="{CE8952E6-964F-1546-810A-D8D83382D258}" name="Valuable" dataDxfId="3">
      <calculatedColumnFormula array="1">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calculatedColumnFormula>
    </tableColumn>
    <tableColumn id="8" xr3:uid="{92F02BF5-0BAB-0048-AE6D-7DC6FCFF4551}" name="Estimable" dataDxfId="2">
      <calculatedColumnFormula array="1">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calculatedColumnFormula>
    </tableColumn>
    <tableColumn id="9" xr3:uid="{A8BE837F-B536-384E-A242-BDCBEE6D80F7}" name="Short" dataDxfId="1">
      <calculatedColumnFormula array="1">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calculatedColumnFormula>
    </tableColumn>
    <tableColumn id="10" xr3:uid="{543583E3-FD91-0949-A6A5-AC606A581448}" name="Testable" dataDxfId="0">
      <calculatedColumnFormula array="1">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A2:J22"/>
  <sheetViews>
    <sheetView tabSelected="1" zoomScale="150" zoomScaleNormal="150" workbookViewId="0">
      <selection activeCell="D12" sqref="D12"/>
    </sheetView>
  </sheetViews>
  <sheetFormatPr baseColWidth="10" defaultRowHeight="15" x14ac:dyDescent="0.2"/>
  <cols>
    <col min="1" max="1" width="8.33203125" customWidth="1"/>
    <col min="2" max="2" width="19.33203125" bestFit="1" customWidth="1"/>
    <col min="3" max="3" width="16.5" bestFit="1" customWidth="1"/>
    <col min="4" max="4" width="37.6640625" customWidth="1"/>
    <col min="5" max="5" width="20.33203125" customWidth="1"/>
    <col min="6" max="6" width="17.1640625" customWidth="1"/>
    <col min="7" max="7" width="20.83203125" customWidth="1"/>
    <col min="8" max="8" width="21.83203125" customWidth="1"/>
    <col min="9" max="9" width="19.6640625" customWidth="1"/>
    <col min="10" max="10" width="21.1640625" customWidth="1"/>
  </cols>
  <sheetData>
    <row r="2" spans="1:10" x14ac:dyDescent="0.2">
      <c r="A2" t="s">
        <v>35</v>
      </c>
      <c r="B2" t="s">
        <v>36</v>
      </c>
      <c r="C2" t="s">
        <v>45</v>
      </c>
      <c r="D2" t="s">
        <v>37</v>
      </c>
      <c r="E2" t="s">
        <v>38</v>
      </c>
      <c r="F2" t="s">
        <v>41</v>
      </c>
      <c r="G2" t="s">
        <v>39</v>
      </c>
      <c r="H2" t="s">
        <v>40</v>
      </c>
      <c r="I2" t="s">
        <v>42</v>
      </c>
      <c r="J2" t="s">
        <v>43</v>
      </c>
    </row>
    <row r="3" spans="1:10" s="7" customFormat="1" ht="150" customHeight="1" x14ac:dyDescent="0.2">
      <c r="A3" s="7">
        <v>1</v>
      </c>
      <c r="B3" s="7" t="s">
        <v>44</v>
      </c>
      <c r="C3" s="7" t="s">
        <v>46</v>
      </c>
      <c r="D3" s="8" t="s">
        <v>109</v>
      </c>
      <c r="E3" s="8" t="str" cm="1">
        <f t="array" ref="E3">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3" s="8" t="str" cm="1">
        <f t="array" ref="F3">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3" s="8" t="str" cm="1">
        <f t="array" ref="G3">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3" s="8" t="str" cm="1">
        <f t="array" ref="H3">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details about the number of plans, UI/UX requirements, billing integration, backend logic, and potential dependencies, making it unclear enough for accurate estimation.</v>
      </c>
      <c r="I3" s="8" t="str" cm="1">
        <f t="array" ref="I3">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3" s="8" t="str" cm="1">
        <f t="array" ref="J3">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4" spans="1:10" ht="155" customHeight="1" x14ac:dyDescent="0.2">
      <c r="A4" s="7" t="s">
        <v>47</v>
      </c>
      <c r="B4" s="7" t="s">
        <v>44</v>
      </c>
      <c r="C4" s="7" t="s">
        <v>48</v>
      </c>
      <c r="D4" s="8" t="s">
        <v>108</v>
      </c>
      <c r="E4" s="8" t="str" cm="1">
        <f t="array" ref="E4">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 it relies on the existing subscription and billing infrastructure, so it cannot deliver value without those components first.</v>
      </c>
      <c r="F4" s="8" t="str" cm="1">
        <f t="array" ref="F4">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4" s="8" t="str" cm="1">
        <f t="array" ref="G4">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4" s="8" t="str" cm="1">
        <f t="array" ref="H4">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sufficient detail (e.g., payment methods, integration points, security requirements, UI/UX specifics, error handling) to estimate effort or complexity.</v>
      </c>
      <c r="I4" s="8" t="str" cm="1">
        <f t="array" ref="I4">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4" s="8" t="str" cm="1">
        <f t="array" ref="J4">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5" spans="1:10" ht="96" x14ac:dyDescent="0.2">
      <c r="A5" s="7" t="s">
        <v>49</v>
      </c>
      <c r="B5" s="7" t="s">
        <v>44</v>
      </c>
      <c r="C5" s="7" t="s">
        <v>50</v>
      </c>
      <c r="D5" s="8" t="s">
        <v>51</v>
      </c>
      <c r="E5" s="8" t="str" cm="1">
        <f t="array" ref="E5">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5" s="8" t="str" cm="1">
        <f t="array" ref="F5">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5" s="8" t="str" cm="1">
        <f t="array" ref="G5">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5" s="8" t="str" cm="1">
        <f t="array" ref="H5">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5" s="8" t="str" cm="1">
        <f t="array" ref="I5">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5" s="8" t="str" cm="1">
        <f t="array" ref="J5">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6" spans="1:10" ht="112" x14ac:dyDescent="0.2">
      <c r="A6" s="7" t="s">
        <v>52</v>
      </c>
      <c r="B6" s="7" t="s">
        <v>53</v>
      </c>
      <c r="C6" s="7" t="s">
        <v>54</v>
      </c>
      <c r="D6" s="8" t="s">
        <v>55</v>
      </c>
      <c r="E6" s="8" t="str" cm="1">
        <f t="array" ref="E6">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6" s="8" t="str" cm="1">
        <f t="array" ref="F6">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6" s="8" t="str" cm="1">
        <f t="array" ref="G6">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6" s="8" t="str" cm="1">
        <f t="array" ref="H6">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details such as the number of tiers, specific feature sets, payment integration, UI changes, and backend logic, leaving too many unknowns for a reliable estimate.</v>
      </c>
      <c r="I6" s="8" t="str" cm="1">
        <f t="array" ref="I6">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6" s="8" t="str" cm="1">
        <f t="array" ref="J6">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 The story states the desired action but lacks measurable acceptance criteria or observable outcomes that can be verified in tests.</v>
      </c>
    </row>
    <row r="7" spans="1:10" ht="144" x14ac:dyDescent="0.2">
      <c r="A7" s="7" t="s">
        <v>56</v>
      </c>
      <c r="B7" s="7" t="s">
        <v>53</v>
      </c>
      <c r="C7" s="7" t="s">
        <v>57</v>
      </c>
      <c r="D7" s="8" t="s">
        <v>107</v>
      </c>
      <c r="E7" s="8" t="str" cm="1">
        <f t="array" ref="E7">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7" s="8" t="str" cm="1">
        <f t="array" ref="F7">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7" s="8" t="str" cm="1">
        <f t="array" ref="G7">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7" s="8" t="str" cm="1">
        <f t="array" ref="H7">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detail about the tiers, technical steps, and billing impacts needed for the team to estimate effort or complexity.</v>
      </c>
      <c r="I7" s="8" t="str" cm="1">
        <f t="array" ref="I7">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7" s="8" t="str" cm="1">
        <f t="array" ref="J7">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 vague outcome with no measurable behavior or acceptance criteria to verify the downgrade.</v>
      </c>
    </row>
    <row r="8" spans="1:10" ht="112" x14ac:dyDescent="0.2">
      <c r="A8" s="7" t="s">
        <v>58</v>
      </c>
      <c r="B8" s="7" t="s">
        <v>53</v>
      </c>
      <c r="C8" s="7" t="s">
        <v>59</v>
      </c>
      <c r="D8" s="8" t="s">
        <v>60</v>
      </c>
      <c r="E8" s="8" t="str" cm="1">
        <f t="array" ref="E8">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 It requires the subscription and billing functionality to exist first; without the subscription infrastructure it cannot deliver value on its own.</v>
      </c>
      <c r="F8" s="8" t="str" cm="1">
        <f t="array" ref="F8">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8" s="8" t="str" cm="1">
        <f t="array" ref="G8">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8" s="8" t="str" cm="1">
        <f t="array" ref="H8">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is too vague: it doesn't specify the cancellation workflow, UI/API details, error handling, billing system integration, or any constraints, making effort or complexity estimation difficult.</v>
      </c>
      <c r="I8" s="8" t="str" cm="1">
        <f t="array" ref="I8">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8" s="8" t="str" cm="1">
        <f t="array" ref="J8">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9" spans="1:10" ht="169" customHeight="1" x14ac:dyDescent="0.2">
      <c r="A9" s="7" t="s">
        <v>61</v>
      </c>
      <c r="B9" s="7" t="s">
        <v>53</v>
      </c>
      <c r="C9" s="7" t="s">
        <v>62</v>
      </c>
      <c r="D9" s="8" t="s">
        <v>63</v>
      </c>
      <c r="E9" s="8" t="str" cm="1">
        <f t="array" ref="E9">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9" s="8" t="str" cm="1">
        <f t="array" ref="F9">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9" s="8" t="str" cm="1">
        <f t="array" ref="G9">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9" s="8" t="str" cm="1">
        <f t="array" ref="H9">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specifics needed for estimation: how prorations are calculated, what triggers them, billing cycle details, edge cases, and integration points.</v>
      </c>
      <c r="I9" s="8" t="str" cm="1">
        <f t="array" ref="I9">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9" s="8" t="str" cm="1">
        <f t="array" ref="J9">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0" spans="1:10" ht="151" customHeight="1" x14ac:dyDescent="0.2">
      <c r="A10" s="7" t="s">
        <v>64</v>
      </c>
      <c r="B10" s="7" t="s">
        <v>65</v>
      </c>
      <c r="C10" s="7" t="s">
        <v>66</v>
      </c>
      <c r="D10" s="8" t="s">
        <v>67</v>
      </c>
      <c r="E10" s="8" t="str" cm="1">
        <f t="array" ref="E10">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0" s="8" t="str" cm="1">
        <f t="array" ref="F10">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0" s="8" t="str" cm="1">
        <f t="array" ref="G10">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0" s="8" t="str" cm="1">
        <f t="array" ref="H10">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details such as data source, UI/UX requirements, filtering options, performance constraints, and integration points, making it unclear how much effort is needed.</v>
      </c>
      <c r="I10" s="8" t="str" cm="1">
        <f t="array" ref="I10">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0" s="8" t="str" cm="1">
        <f t="array" ref="J10">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1" spans="1:10" ht="48" x14ac:dyDescent="0.2">
      <c r="A11" s="7" t="s">
        <v>68</v>
      </c>
      <c r="B11" s="7" t="s">
        <v>65</v>
      </c>
      <c r="C11" s="7" t="s">
        <v>69</v>
      </c>
      <c r="D11" s="8" t="s">
        <v>110</v>
      </c>
      <c r="E11" s="8" t="str" cm="1">
        <f t="array" ref="E11">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1" s="8" t="str" cm="1">
        <f t="array" ref="F11">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1" s="8" t="str" cm="1">
        <f t="array" ref="G11">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1" s="8" t="str" cm="1">
        <f t="array" ref="H11">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1" s="8" t="str" cm="1">
        <f t="array" ref="I11">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1" s="8" t="str" cm="1">
        <f t="array" ref="J11">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2" spans="1:10" ht="144" x14ac:dyDescent="0.2">
      <c r="A12" s="7" t="s">
        <v>70</v>
      </c>
      <c r="B12" s="7" t="s">
        <v>65</v>
      </c>
      <c r="C12" s="7" t="s">
        <v>71</v>
      </c>
      <c r="D12" s="8" t="s">
        <v>72</v>
      </c>
      <c r="E12" s="8" t="str" cm="1">
        <f t="array" ref="E12">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2" s="8" t="str" cm="1">
        <f t="array" ref="F12">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2" s="8" t="str" cm="1">
        <f t="array" ref="G12">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2" s="8" t="str" cm="1">
        <f t="array" ref="H12">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2" s="8" t="str" cm="1">
        <f t="array" ref="I12">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2" s="8" t="str" cm="1">
        <f t="array" ref="J12">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3" spans="1:10" ht="159" customHeight="1" x14ac:dyDescent="0.2">
      <c r="A13" s="7" t="s">
        <v>73</v>
      </c>
      <c r="B13" s="7" t="s">
        <v>74</v>
      </c>
      <c r="C13" s="7" t="s">
        <v>75</v>
      </c>
      <c r="D13" s="8" t="s">
        <v>76</v>
      </c>
      <c r="E13" s="8" t="str" cm="1">
        <f t="array" ref="E13">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3" s="8" t="str" cm="1">
        <f t="array" ref="F13">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3" s="8" t="str" cm="1">
        <f t="array" ref="G13">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3" s="8" t="str" cm="1">
        <f t="array" ref="H13">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details needed for estimation (e.g., definition of "seats," data source, UI design, integration points, and business rules for counting used vs. remaining seats).</v>
      </c>
      <c r="I13" s="8" t="str" cm="1">
        <f t="array" ref="I13">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3" s="8" t="str" cm="1">
        <f t="array" ref="J13">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4" spans="1:10" ht="177" customHeight="1" x14ac:dyDescent="0.2">
      <c r="A14" s="7" t="s">
        <v>77</v>
      </c>
      <c r="B14" s="7" t="s">
        <v>74</v>
      </c>
      <c r="C14" s="7" t="s">
        <v>78</v>
      </c>
      <c r="D14" s="8" t="s">
        <v>79</v>
      </c>
      <c r="E14" s="8" t="str" cm="1">
        <f t="array" ref="E14">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 this story relies on existing usage...monitoring and alert...delivery mechanisms; without those components it cannot be built or deliver value on its own.</v>
      </c>
      <c r="F14" s="8" t="str" cm="1">
        <f t="array" ref="F14">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4" s="8" t="str" cm="1">
        <f t="array" ref="G14">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4" s="8" t="str" cm="1">
        <f t="array" ref="H14">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concrete details (specific usage metrics, threshold levels, alert channels, integration points, and dependencies), making it unclear enough for the team to estimate effort or complexity.</v>
      </c>
      <c r="I14" s="8" t="str" cm="1">
        <f t="array" ref="I14">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4" s="8" t="str" cm="1">
        <f t="array" ref="J14">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5" spans="1:10" ht="199" customHeight="1" x14ac:dyDescent="0.2">
      <c r="A15" s="7" t="s">
        <v>80</v>
      </c>
      <c r="B15" s="7" t="s">
        <v>74</v>
      </c>
      <c r="C15" s="7" t="s">
        <v>81</v>
      </c>
      <c r="D15" s="8" t="s">
        <v>82</v>
      </c>
      <c r="E15" s="8" t="str" cm="1">
        <f t="array" ref="E15">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This story relies on existing subscription plan data and related infrastructure (e.g., plan definitions, billing, user...plan relationships) that are typically implemented in separate stories, so it cannot deliver value on its own.</v>
      </c>
      <c r="F15" s="8" t="str" cm="1">
        <f t="array" ref="F15">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5" s="8" t="str" cm="1">
        <f t="array" ref="G15">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5" s="8" t="str" cm="1">
        <f t="array" ref="H15">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specifics (which features, how many subscription plans, gating logic, integration points, or technical constraints), making it impossible to estimate effort or complexity.</v>
      </c>
      <c r="I15" s="8" t="str" cm="1">
        <f t="array" ref="I15">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5" s="8" t="str" cm="1">
        <f t="array" ref="J15">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The story lacks specific, measurable outcomes or acceptance criteria; it does not define which features, subscription plans, or observable gating behavior to test.</v>
      </c>
    </row>
    <row r="16" spans="1:10" ht="168" customHeight="1" x14ac:dyDescent="0.2">
      <c r="A16" s="7" t="s">
        <v>83</v>
      </c>
      <c r="B16" s="7" t="s">
        <v>84</v>
      </c>
      <c r="C16" s="7" t="s">
        <v>85</v>
      </c>
      <c r="D16" s="8" t="s">
        <v>86</v>
      </c>
      <c r="E16" s="8" t="str" cm="1">
        <f t="array" ref="E16">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 this story relies on existing role definitions and the billing update functionality; without those pieces in place it cannot be implemented or deliver value on its own.</v>
      </c>
      <c r="F16" s="8" t="str" cm="1">
        <f t="array" ref="F16">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6" s="8" t="str" cm="1">
        <f t="array" ref="G16">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6" s="8" t="str" cm="1">
        <f t="array" ref="H16">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is vague: it doesn't specify how many roles, the UI or API changes needed, or any constraints on the billing system. The lack of detail makes it hard to estimate effort or complexity.</v>
      </c>
      <c r="I16" s="8" t="str" cm="1">
        <f t="array" ref="I16">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6" s="8" t="str" cm="1">
        <f t="array" ref="J16">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 The story lacks specific, measurable acceptance criteria or observable behavior, making it impossible to verify whether the designation functionality works.</v>
      </c>
    </row>
    <row r="17" spans="1:10" ht="160" x14ac:dyDescent="0.2">
      <c r="A17" s="7" t="s">
        <v>87</v>
      </c>
      <c r="B17" s="7" t="s">
        <v>84</v>
      </c>
      <c r="C17" s="7" t="s">
        <v>88</v>
      </c>
      <c r="D17" s="8" t="s">
        <v>89</v>
      </c>
      <c r="E17" s="8" t="str" cm="1">
        <f t="array" ref="E17">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7" s="8" t="str" cm="1">
        <f t="array" ref="F17">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7" s="8" t="str" cm="1">
        <f t="array" ref="G17">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7" s="8" t="str" cm="1">
        <f t="array" ref="H17">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7" s="8" t="str" cm="1">
        <f t="array" ref="I17">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7" s="8" t="str" cm="1">
        <f t="array" ref="J17">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8" spans="1:10" ht="160" x14ac:dyDescent="0.2">
      <c r="A18" s="7" t="s">
        <v>90</v>
      </c>
      <c r="B18" s="7" t="s">
        <v>91</v>
      </c>
      <c r="C18" s="7" t="s">
        <v>92</v>
      </c>
      <c r="D18" s="8" t="s">
        <v>93</v>
      </c>
      <c r="E18" s="8" t="str" cm="1">
        <f t="array" ref="E18">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8" s="8" t="str" cm="1">
        <f t="array" ref="F18">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8" s="8" t="str" cm="1">
        <f t="array" ref="G18">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8" s="8" t="str" cm="1">
        <f t="array" ref="H18">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specifics such as where the toggle appears, how it interacts with the billing system, what acceptance criteria or edge...cases exist, and what dependencies (payment gateway, notification service, UI changes) are required, making it difficult to estimate effort.</v>
      </c>
      <c r="I18" s="8" t="str" cm="1">
        <f t="array" ref="I18">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8" s="8" t="str" cm="1">
        <f t="array" ref="J18">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9" spans="1:10" ht="171" customHeight="1" x14ac:dyDescent="0.2">
      <c r="A19" s="7" t="s">
        <v>94</v>
      </c>
      <c r="B19" s="7" t="s">
        <v>91</v>
      </c>
      <c r="C19" s="7" t="s">
        <v>95</v>
      </c>
      <c r="D19" s="8" t="s">
        <v>96</v>
      </c>
      <c r="E19" s="8" t="str" cm="1">
        <f t="array" ref="E19">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9" s="8" t="str" cm="1">
        <f t="array" ref="F19">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9" s="8" t="str" cm="1">
        <f t="array" ref="G19">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9" s="8" t="str" cm="1">
        <f t="array" ref="H19">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concrete details such as trial duration, access limits, required setup steps, and dependencies on user registration or billing systems, making it difficult to estimate effort.</v>
      </c>
      <c r="I19" s="8" t="str" cm="1">
        <f t="array" ref="I19">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9" s="8" t="str" cm="1">
        <f t="array" ref="J19">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 The story lacks measurable behavior or specific acceptance criteria (e.g., duration of trial, sign...up steps, limitations), so it cannot be verified through tests.</v>
      </c>
    </row>
    <row r="20" spans="1:10" ht="133" customHeight="1" x14ac:dyDescent="0.2">
      <c r="A20" s="7" t="s">
        <v>97</v>
      </c>
      <c r="B20" s="7" t="s">
        <v>91</v>
      </c>
      <c r="C20" s="7" t="s">
        <v>98</v>
      </c>
      <c r="D20" s="8" t="s">
        <v>99</v>
      </c>
      <c r="E20" s="8" t="str" cm="1">
        <f t="array" ref="E20">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20" s="8" t="str" cm="1">
        <f t="array" ref="F20">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20" s="8" t="str" cm="1">
        <f t="array" ref="G20">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20" s="8" t="str" cm="1">
        <f t="array" ref="H20">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specifics such as reminder channel, timing, content, and acceptance criteria, making it difficult to estimate effort or size.</v>
      </c>
      <c r="I20" s="8" t="str" cm="1">
        <f t="array" ref="I20">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20" s="8" t="str" cm="1">
        <f t="array" ref="J20">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The story lacks a measurable or observable outcome (e.g., specific time, medium, or content of the reminder) and has no acceptance criteria, making it unclear how to verify it.</v>
      </c>
    </row>
    <row r="21" spans="1:10" ht="175" customHeight="1" x14ac:dyDescent="0.2">
      <c r="A21" s="7" t="s">
        <v>100</v>
      </c>
      <c r="B21" s="7" t="s">
        <v>101</v>
      </c>
      <c r="C21" s="7" t="s">
        <v>102</v>
      </c>
      <c r="D21" s="8" t="s">
        <v>103</v>
      </c>
      <c r="E21" s="8" t="str" cm="1">
        <f t="array" ref="E21">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21" s="8" t="str" cm="1">
        <f t="array" ref="F21">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21" s="8" t="str" cm="1">
        <f t="array" ref="G21">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21" s="8" t="str" cm="1">
        <f t="array" ref="H21">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sufficient detail to estimate effort, such as which taxes, which jurisdictions, data sources, integration points, and business rules involved.</v>
      </c>
      <c r="I21" s="8" t="str" cm="1">
        <f t="array" ref="I21">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21" s="8" t="str" cm="1">
        <f t="array" ref="J21">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22" spans="1:10" ht="177" customHeight="1" x14ac:dyDescent="0.2">
      <c r="A22" s="7" t="s">
        <v>104</v>
      </c>
      <c r="B22" s="7" t="s">
        <v>101</v>
      </c>
      <c r="C22" s="7" t="s">
        <v>105</v>
      </c>
      <c r="D22" s="8" t="s">
        <v>106</v>
      </c>
      <c r="E22" s="8" t="str" cm="1">
        <f t="array" ref="E22">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22" s="8" t="str" cm="1">
        <f t="array" ref="F22">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22" s="8" t="str" cm="1">
        <f t="array" ref="G22">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22" s="8" t="str" cm="1">
        <f t="array" ref="H22">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The story lacks sufficient detail (e.g., which tax/legal fields, validation rules, UI requirements, data persistence, integration points) to estimate effort or complexity.</v>
      </c>
      <c r="I22" s="8" t="str" cm="1">
        <f t="array" ref="I22">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22" s="8" t="str" cm="1">
        <f t="array" ref="J22">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 The story describes a general outcome ("invoices meet compliance requirements") without specific, measurable acceptance criteria or observable behaviors that can be directly verified through tests.</v>
      </c>
    </row>
  </sheetData>
  <conditionalFormatting sqref="E3:J22">
    <cfRule type="notContainsText" dxfId="11" priority="1" operator="notContains" text="TRUE">
      <formula>ISERROR(SEARCH("TRUE",E3))</formula>
    </cfRule>
  </conditionalFormatting>
  <pageMargins left="0.7" right="0.7" top="0.75" bottom="0.75"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6" t="s">
        <v>25</v>
      </c>
    </row>
    <row r="3" spans="1:1" ht="96" x14ac:dyDescent="0.2">
      <c r="A3" s="3" t="s">
        <v>32</v>
      </c>
    </row>
    <row r="5" spans="1:1" ht="20" x14ac:dyDescent="0.2">
      <c r="A5" s="2" t="s">
        <v>0</v>
      </c>
    </row>
    <row r="7" spans="1:1" ht="16" x14ac:dyDescent="0.2">
      <c r="A7" s="1" t="s">
        <v>24</v>
      </c>
    </row>
    <row r="8" spans="1:1" ht="16" x14ac:dyDescent="0.2">
      <c r="A8" s="1" t="s">
        <v>23</v>
      </c>
    </row>
    <row r="9" spans="1:1" ht="16" x14ac:dyDescent="0.2">
      <c r="A9" s="1" t="s">
        <v>22</v>
      </c>
    </row>
    <row r="10" spans="1:1" ht="16" x14ac:dyDescent="0.2">
      <c r="A10" s="1" t="s">
        <v>21</v>
      </c>
    </row>
    <row r="11" spans="1:1" ht="16" x14ac:dyDescent="0.2">
      <c r="A11" s="1" t="s">
        <v>20</v>
      </c>
    </row>
    <row r="12" spans="1:1" ht="16" x14ac:dyDescent="0.2">
      <c r="A12" s="1" t="s">
        <v>19</v>
      </c>
    </row>
    <row r="14" spans="1:1" ht="20" x14ac:dyDescent="0.2">
      <c r="A14" s="2" t="s">
        <v>18</v>
      </c>
    </row>
    <row r="16" spans="1:1" ht="17" x14ac:dyDescent="0.2">
      <c r="A16" s="4" t="s">
        <v>17</v>
      </c>
    </row>
    <row r="17" spans="1:1" ht="16" x14ac:dyDescent="0.2">
      <c r="A17" s="3" t="s">
        <v>16</v>
      </c>
    </row>
    <row r="19" spans="1:1" ht="16" x14ac:dyDescent="0.2">
      <c r="A19" s="1" t="s">
        <v>15</v>
      </c>
    </row>
    <row r="20" spans="1:1" ht="16" x14ac:dyDescent="0.2">
      <c r="A20" s="5" t="s">
        <v>14</v>
      </c>
    </row>
    <row r="21" spans="1:1" ht="16" x14ac:dyDescent="0.2">
      <c r="A21" s="5" t="s">
        <v>13</v>
      </c>
    </row>
    <row r="22" spans="1:1" ht="16" x14ac:dyDescent="0.2">
      <c r="A22" s="5" t="s">
        <v>12</v>
      </c>
    </row>
    <row r="24" spans="1:1" ht="16" x14ac:dyDescent="0.2">
      <c r="A24" s="1" t="s">
        <v>26</v>
      </c>
    </row>
    <row r="25" spans="1:1" ht="16" x14ac:dyDescent="0.2">
      <c r="A25" s="5" t="str">
        <f>OLLAMA("Summarize this in 3 words", A1:A10)</f>
        <v>Excel Ollama Integration</v>
      </c>
    </row>
    <row r="26" spans="1:1" ht="16" x14ac:dyDescent="0.2">
      <c r="A26" s="5" t="str">
        <f>OLLAMA("What is the capital of France?")</f>
        <v>The capital of France is Paris.</v>
      </c>
    </row>
    <row r="27" spans="1:1" ht="409.6" x14ac:dyDescent="0.2">
      <c r="A27" s="5"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5" t="str">
        <f>OLLAMA("Translate to Spanish: Hello", A1, "mistral")</f>
        <v>Is Ollama installed and running mistral? https://ollama.com. Error: 404 - {"error":"model 'mistral' not found"}</v>
      </c>
    </row>
    <row r="30" spans="1:1" ht="17" x14ac:dyDescent="0.2">
      <c r="A30" s="4" t="s">
        <v>11</v>
      </c>
    </row>
    <row r="31" spans="1:1" ht="16" x14ac:dyDescent="0.2">
      <c r="A31" s="3" t="s">
        <v>10</v>
      </c>
    </row>
    <row r="33" spans="1:1" ht="20" x14ac:dyDescent="0.2">
      <c r="A33" s="2" t="s">
        <v>9</v>
      </c>
    </row>
    <row r="35" spans="1:1" ht="16" x14ac:dyDescent="0.2">
      <c r="A35" s="1" t="s">
        <v>8</v>
      </c>
    </row>
    <row r="36" spans="1:1" ht="16" x14ac:dyDescent="0.2">
      <c r="A36" s="1" t="s">
        <v>7</v>
      </c>
    </row>
    <row r="37" spans="1:1" ht="16" x14ac:dyDescent="0.2">
      <c r="A37" s="1" t="s">
        <v>34</v>
      </c>
    </row>
    <row r="39" spans="1:1" ht="20" x14ac:dyDescent="0.2">
      <c r="A39" s="2" t="s">
        <v>6</v>
      </c>
    </row>
    <row r="41" spans="1:1" ht="16" x14ac:dyDescent="0.2">
      <c r="A41" s="1" t="s">
        <v>5</v>
      </c>
    </row>
    <row r="42" spans="1:1" ht="16" x14ac:dyDescent="0.2">
      <c r="A42" s="1" t="s">
        <v>27</v>
      </c>
    </row>
    <row r="43" spans="1:1" ht="32" x14ac:dyDescent="0.2">
      <c r="A43" s="1" t="s">
        <v>28</v>
      </c>
    </row>
    <row r="44" spans="1:1" ht="16" x14ac:dyDescent="0.2">
      <c r="A44" s="1" t="s">
        <v>29</v>
      </c>
    </row>
    <row r="45" spans="1:1" ht="16" x14ac:dyDescent="0.2">
      <c r="A45" s="1" t="s">
        <v>30</v>
      </c>
    </row>
    <row r="46" spans="1:1" ht="16" x14ac:dyDescent="0.2">
      <c r="A46" s="1" t="s">
        <v>31</v>
      </c>
    </row>
    <row r="48" spans="1:1" ht="20" x14ac:dyDescent="0.2">
      <c r="A48" s="2" t="s">
        <v>4</v>
      </c>
    </row>
    <row r="50" spans="1:1" ht="16" x14ac:dyDescent="0.2">
      <c r="A50" s="1" t="s">
        <v>3</v>
      </c>
    </row>
    <row r="51" spans="1:1" ht="32" x14ac:dyDescent="0.2">
      <c r="A51" s="1" t="s">
        <v>33</v>
      </c>
    </row>
    <row r="52" spans="1:1" ht="16" x14ac:dyDescent="0.2">
      <c r="A52" s="1" t="s">
        <v>2</v>
      </c>
    </row>
    <row r="53" spans="1:1" ht="16" x14ac:dyDescent="0.2">
      <c r="A53" s="1" t="s">
        <v>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User Stories</vt:lpstr>
      <vt:lpstr>README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2025-11-15T18:47:23Z</dcterms:modified>
</cp:coreProperties>
</file>