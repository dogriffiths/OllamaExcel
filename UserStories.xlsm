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697B1E41-82DF-D444-A6A0-3C70B7C3A123}" xr6:coauthVersionLast="47" xr6:coauthVersionMax="47" xr10:uidLastSave="{00000000-0000-0000-0000-000000000000}"/>
  <bookViews>
    <workbookView xWindow="0" yWindow="500" windowWidth="38400" windowHeight="21100" activeTab="1" xr2:uid="{00000000-000D-0000-FFFF-FFFF00000000}"/>
  </bookViews>
  <sheets>
    <sheet name="User Stories" sheetId="8" r:id="rId1"/>
    <sheet name="Sheet1" sheetId="13" r:id="rId2"/>
    <sheet name="README" sheetId="12" r:id="rId3"/>
  </sheets>
  <functionGroups builtInGroupCount="19"/>
  <definedNames>
    <definedName name="_xleta.AND" hidden="1" xlm="1">#NAME?</definedName>
    <definedName name="_xleta.IF"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Criterion" hidden="1" xlm="1">#NAME?</definedName>
    <definedName name="_xlpm.detractors" hidden="1" xlm="1">#NAME?</definedName>
    <definedName name="_xlpm.Model" hidden="1" xlm="1">#NAME?</definedName>
    <definedName name="_xlpm.promoters" hidden="1" xlm="1">#NAME?</definedName>
    <definedName name="_xlpm.range" hidden="1" xlm="1">#NAME?</definedName>
    <definedName name="_xlpm.reviewCell" hidden="1" xlm="1">#NAME?</definedName>
    <definedName name="_xlpm.scores" hidden="1" xlm="1">#NAME?</definedName>
    <definedName name="_xlpm.Story" hidden="1" xlm="1">#NAME?</definedName>
    <definedName name="_xlpm.total" hidden="1" xlm="1">#NAME?</definedName>
    <definedName name="_xlpm.values" hidden="1" xlm="1">#NAME?</definedName>
    <definedName name="EISENHOWER">_xlfn.LAMBDA(_xlpm.category,_xlpm.range, OLLAMA("using an Eisenhower Box, return TRUE if this task should be " &amp; _xlpm.category &amp; ", return FALSE", _xlpm.range))</definedName>
    <definedName name="INVEST">_xlfn.LAMBDA(_xlpm.Criterion,_xlpm.Story,_xlpm.Model, OLLAMA("Task: Evaluate a user story against the INVEST criteria, focusing only on the """ &amp; _xlpm.Criterion &amp; """ requirement. Instructions: Given a user story provided, determine whether the story meets the " &amp; _xlpm.Criterion &amp; _xlfn._LONGTEXT(" criterion—that is, it includes behavior or outcomes that can be verified through acceptance criteria, tests, or observable results. Output Rules: If the story meets the criterion → return TRUE with no additional text. If the story does not meet the crite","rion → return FALSE followed by a brief explanation of why (e.g., vague outcome, no measurable behavior, subjective wording, missing acceptance criteria, etc.) Input: ") &amp; _xlpm.Story,_xlpm.Model))</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8" i="12"/>
  <c r="A25" i="12"/>
  <c r="A27" i="12"/>
  <c r="E7" i="13" a="1"/>
  <c r="I5" i="8" a="1"/>
  <c r="E19" i="8" a="1"/>
  <c r="G16" i="8" a="1"/>
  <c r="E18" i="8" a="1"/>
  <c r="G4" i="8" a="1"/>
  <c r="I18" i="8" a="1"/>
  <c r="I12" i="8" a="1"/>
  <c r="F19" i="8" a="1"/>
  <c r="H21" i="8" a="1"/>
  <c r="F4" i="8" a="1"/>
  <c r="J8" i="8" a="1"/>
  <c r="E20" i="8" a="1"/>
  <c r="F9" i="8" a="1"/>
  <c r="E15" i="8" a="1"/>
  <c r="H6" i="8" a="1"/>
  <c r="J15" i="8" a="1"/>
  <c r="J9" i="8" a="1"/>
  <c r="G13" i="8" a="1"/>
  <c r="F15" i="8" a="1"/>
  <c r="H18" i="8" a="1"/>
  <c r="I17" i="8" a="1"/>
  <c r="F22" i="8" a="1"/>
  <c r="H16" i="8" a="1"/>
  <c r="I4" i="8" a="1"/>
  <c r="H13" i="8" a="1"/>
  <c r="J11" i="8" a="1"/>
  <c r="H20" i="8" a="1"/>
  <c r="F13" i="8" a="1"/>
  <c r="H11" i="8" a="1"/>
  <c r="G21" i="8" a="1"/>
  <c r="H22" i="8" a="1"/>
  <c r="G19" i="8" a="1"/>
  <c r="E16" i="8" a="1"/>
  <c r="J17" i="8" a="1"/>
  <c r="E21" i="8" a="1"/>
  <c r="F8" i="8" a="1"/>
  <c r="F7" i="8" a="1"/>
  <c r="H17" i="8" a="1"/>
  <c r="G14" i="8" a="1"/>
  <c r="F16" i="8" a="1"/>
  <c r="E9" i="8" a="1"/>
  <c r="J13" i="8" a="1"/>
  <c r="I9" i="8" a="1"/>
  <c r="G15" i="8" a="1"/>
  <c r="F6" i="8" a="1"/>
  <c r="F5" i="8" a="1"/>
  <c r="I21" i="8" a="1"/>
  <c r="I14" i="8" a="1"/>
  <c r="J14" i="8" a="1"/>
  <c r="J5" i="8" a="1"/>
  <c r="F17" i="8" a="1"/>
  <c r="J16" i="8" a="1"/>
  <c r="I6" i="8" a="1"/>
  <c r="E7" i="8" a="1"/>
  <c r="E22" i="8" a="1"/>
  <c r="I15" i="8" a="1"/>
  <c r="F14" i="8" a="1"/>
  <c r="F21" i="8" a="1"/>
  <c r="I10" i="8" a="1"/>
  <c r="I19" i="8" a="1"/>
  <c r="H12" i="8" a="1"/>
  <c r="I3" i="8" a="1"/>
  <c r="E3" i="8" a="1"/>
  <c r="E4" i="8" a="1"/>
  <c r="I13" i="8" a="1"/>
  <c r="G11" i="8" a="1"/>
  <c r="F20" i="8" a="1"/>
  <c r="J6" i="8" a="1"/>
  <c r="I20" i="8" a="1"/>
  <c r="I16" i="8" a="1"/>
  <c r="E12" i="8" a="1"/>
  <c r="I8" i="8" a="1"/>
  <c r="G20" i="8" a="1"/>
  <c r="J7" i="8" a="1"/>
  <c r="I11" i="8" a="1"/>
  <c r="F18" i="8" a="1"/>
  <c r="G6" i="8" a="1"/>
  <c r="J18" i="8" a="1"/>
  <c r="J19" i="8" a="1"/>
  <c r="E13" i="8" a="1"/>
  <c r="G18" i="8" a="1"/>
  <c r="J20" i="8" a="1"/>
  <c r="G5" i="8" a="1"/>
  <c r="F12" i="8" a="1"/>
  <c r="E11" i="8" a="1"/>
  <c r="J3" i="8" a="1"/>
  <c r="I22" i="8" a="1"/>
  <c r="E17" i="8" a="1"/>
  <c r="G17" i="8" a="1"/>
  <c r="G12" i="8" a="1"/>
  <c r="E5" i="8" a="1"/>
  <c r="F10" i="8" a="1"/>
  <c r="J12" i="8" a="1"/>
  <c r="H9" i="8" a="1"/>
  <c r="J22" i="8" a="1"/>
  <c r="H7" i="8" a="1"/>
  <c r="H8" i="8" a="1"/>
  <c r="F3" i="8" a="1"/>
  <c r="H5" i="8" a="1"/>
  <c r="J21" i="8" a="1"/>
  <c r="E14" i="8" a="1"/>
  <c r="H19" i="8" a="1"/>
  <c r="G3" i="8" a="1"/>
  <c r="J4" i="8" a="1"/>
  <c r="H10" i="8" a="1"/>
  <c r="G9" i="8" a="1"/>
  <c r="E10" i="8" a="1"/>
  <c r="J10" i="8" a="1"/>
  <c r="G7" i="8" a="1"/>
  <c r="E6" i="8" a="1"/>
  <c r="H4" i="8" a="1"/>
  <c r="H3" i="8" a="1"/>
  <c r="E8" i="8" a="1"/>
  <c r="F11" i="8" a="1"/>
  <c r="I7" i="8" a="1"/>
  <c r="G10" i="8" a="1"/>
  <c r="G8" i="8" a="1"/>
  <c r="H15" i="8" a="1"/>
  <c r="H14" i="8" a="1"/>
  <c r="G22" i="8" a="1"/>
  <c r="E7" i="13" l="1"/>
  <c r="J9" i="8"/>
  <c r="J8" i="8"/>
  <c r="J15" i="8"/>
  <c r="J14" i="8"/>
  <c r="J20" i="8"/>
  <c r="J7" i="8"/>
  <c r="J21" i="8"/>
  <c r="J19" i="8"/>
  <c r="J13" i="8"/>
  <c r="J18" i="8"/>
  <c r="J6" i="8"/>
  <c r="J12" i="8"/>
  <c r="J11" i="8"/>
  <c r="J5" i="8"/>
  <c r="J17" i="8"/>
  <c r="J16" i="8"/>
  <c r="J4" i="8"/>
  <c r="J22" i="8"/>
  <c r="J10" i="8"/>
  <c r="J3" i="8"/>
  <c r="I15" i="8"/>
  <c r="I9" i="8"/>
  <c r="I8" i="8"/>
  <c r="I14" i="8"/>
  <c r="I7" i="8"/>
  <c r="I19" i="8"/>
  <c r="I21" i="8"/>
  <c r="I6" i="8"/>
  <c r="I12" i="8"/>
  <c r="I5" i="8"/>
  <c r="I18" i="8"/>
  <c r="I17" i="8"/>
  <c r="I11" i="8"/>
  <c r="I13" i="8"/>
  <c r="I22" i="8"/>
  <c r="I16" i="8"/>
  <c r="I4" i="8"/>
  <c r="I20" i="8"/>
  <c r="I10" i="8"/>
  <c r="I3" i="8"/>
  <c r="H19" i="8"/>
  <c r="H21" i="8"/>
  <c r="H9" i="8"/>
  <c r="H16" i="8"/>
  <c r="H14" i="8"/>
  <c r="H8" i="8"/>
  <c r="H20" i="8"/>
  <c r="H7" i="8"/>
  <c r="H13" i="8"/>
  <c r="H6" i="8"/>
  <c r="H12" i="8"/>
  <c r="H18" i="8"/>
  <c r="H5" i="8"/>
  <c r="H17" i="8"/>
  <c r="H11" i="8"/>
  <c r="H22" i="8"/>
  <c r="H4" i="8"/>
  <c r="H10" i="8"/>
  <c r="H15" i="8"/>
  <c r="H3" i="8"/>
  <c r="G22" i="8"/>
  <c r="G15" i="8"/>
  <c r="G9" i="8"/>
  <c r="G14" i="8"/>
  <c r="G8" i="8"/>
  <c r="G7" i="8"/>
  <c r="G20" i="8"/>
  <c r="G18" i="8"/>
  <c r="G6" i="8"/>
  <c r="G19" i="8"/>
  <c r="G12" i="8"/>
  <c r="G16" i="8"/>
  <c r="G13" i="8"/>
  <c r="G11" i="8"/>
  <c r="G17" i="8"/>
  <c r="G5" i="8"/>
  <c r="G4" i="8"/>
  <c r="G10" i="8"/>
  <c r="G21" i="8"/>
  <c r="G3" i="8"/>
  <c r="F3" i="8"/>
  <c r="E18" i="8"/>
  <c r="E12" i="8"/>
  <c r="E17" i="8"/>
  <c r="E11" i="8"/>
  <c r="E22" i="8"/>
  <c r="E21" i="8"/>
  <c r="E15" i="8"/>
  <c r="E9" i="8"/>
  <c r="E8" i="8"/>
  <c r="E20" i="8"/>
  <c r="E14" i="8"/>
  <c r="E13" i="8"/>
  <c r="E7" i="8"/>
  <c r="E6" i="8"/>
  <c r="E5" i="8"/>
  <c r="E16" i="8"/>
  <c r="E4" i="8"/>
  <c r="E10" i="8"/>
  <c r="E19" i="8"/>
  <c r="E3" i="8"/>
  <c r="F4" i="8"/>
  <c r="F21" i="8"/>
  <c r="F15" i="8"/>
  <c r="F9" i="8"/>
  <c r="F8" i="8"/>
  <c r="F7" i="8"/>
  <c r="F19" i="8"/>
  <c r="F13" i="8"/>
  <c r="F6" i="8"/>
  <c r="F14" i="8"/>
  <c r="F18" i="8"/>
  <c r="F5" i="8"/>
  <c r="F20" i="8"/>
  <c r="F12" i="8"/>
  <c r="F11" i="8"/>
  <c r="F22" i="8"/>
  <c r="F16" i="8"/>
  <c r="F17" i="8"/>
  <c r="F10" i="8"/>
  <c r="B13" i="13" a="1"/>
  <c r="B21" i="13" a="1"/>
  <c r="B15" i="13" a="1"/>
  <c r="B16" i="13" a="1"/>
  <c r="B22" i="13" a="1"/>
  <c r="B17" i="13" a="1"/>
  <c r="B23" i="13" a="1"/>
  <c r="B18" i="13" a="1"/>
  <c r="B24" i="13" a="1"/>
  <c r="B19" i="13" a="1"/>
  <c r="B25" i="13" a="1"/>
  <c r="B14" i="13" a="1"/>
  <c r="B20" i="13" a="1"/>
  <c r="B26" i="13" a="1"/>
  <c r="B13" i="13" l="1"/>
  <c r="B26" i="13"/>
  <c r="B20" i="13"/>
  <c r="B14" i="13"/>
  <c r="B25" i="13"/>
  <c r="B19" i="13"/>
  <c r="B24" i="13"/>
  <c r="B18" i="13"/>
  <c r="B23" i="13"/>
  <c r="B17" i="13"/>
  <c r="B22" i="13"/>
  <c r="B16" i="13"/>
  <c r="B15" i="13"/>
  <c r="B21" i="13"/>
  <c r="C13" i="13" a="1"/>
  <c r="C15" i="13" a="1"/>
  <c r="C19" i="13" a="1"/>
  <c r="C22" i="13" a="1"/>
  <c r="C26" i="13" a="1"/>
  <c r="C21" i="13" a="1"/>
  <c r="C14" i="13" a="1"/>
  <c r="C25" i="13" a="1"/>
  <c r="C24" i="13" a="1"/>
  <c r="C16" i="13" a="1"/>
  <c r="C20" i="13" a="1"/>
  <c r="C18" i="13" a="1"/>
  <c r="C23" i="13" a="1"/>
  <c r="C17" i="13" a="1"/>
  <c r="C17" i="13" l="1"/>
  <c r="C23" i="13"/>
  <c r="C18" i="13"/>
  <c r="C20" i="13"/>
  <c r="C16" i="13"/>
  <c r="C24" i="13"/>
  <c r="C25" i="13"/>
  <c r="C14" i="13"/>
  <c r="C21" i="13"/>
  <c r="C26" i="13"/>
  <c r="C22" i="13"/>
  <c r="C19" i="13"/>
  <c r="C15" i="13"/>
  <c r="C13" i="1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<sst xmlns="http://schemas.openxmlformats.org/spreadsheetml/2006/main" count="129" uniqueCount="116">
  <si>
    <t>Features</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</si>
  <si>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</si>
  <si>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</si>
  <si>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</si>
  <si>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</si>
  <si>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</si>
  <si>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</si>
  <si>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</si>
  <si>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</si>
  <si>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</si>
  <si>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</si>
  <si>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</si>
  <si>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</si>
  <si>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</si>
  <si>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</si>
  <si>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</si>
  <si>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</si>
  <si>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</si>
  <si>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</si>
  <si>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</si>
  <si>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</si>
  <si>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</si>
  <si>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</si>
  <si>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</si>
  <si>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</si>
  <si>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</si>
  <si>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</si>
  <si>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</si>
  <si>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</si>
  <si>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</si>
  <si>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</si>
  <si>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</si>
  <si>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</si>
  <si>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</si>
  <si>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</si>
  <si>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Story id</t>
  </si>
  <si>
    <t>Group</t>
  </si>
  <si>
    <t>Story</t>
  </si>
  <si>
    <t>Independent</t>
  </si>
  <si>
    <t>Valuable</t>
  </si>
  <si>
    <t>Estimable</t>
  </si>
  <si>
    <t>Negotiable</t>
  </si>
  <si>
    <t>Short</t>
  </si>
  <si>
    <t>Testable</t>
  </si>
  <si>
    <t>Account &amp; Billing Setup</t>
  </si>
  <si>
    <t>Title</t>
  </si>
  <si>
    <t>Subscription Signup</t>
  </si>
  <si>
    <t>SUB-002</t>
  </si>
  <si>
    <t>Billing Details</t>
  </si>
  <si>
    <t>SUB-003</t>
  </si>
  <si>
    <t>View Current Plan</t>
  </si>
  <si>
    <t>As an account owner, I want to view my active subscription plan and billing tier so that I understand what features I have access to.</t>
  </si>
  <si>
    <t>SUB-004</t>
  </si>
  <si>
    <t>Plan Management</t>
  </si>
  <si>
    <t>Upgrade Plan</t>
  </si>
  <si>
    <t>SUB-005</t>
  </si>
  <si>
    <t>Downgrade Plan</t>
  </si>
  <si>
    <t>SUB-006</t>
  </si>
  <si>
    <t>Cancel Subscription</t>
  </si>
  <si>
    <t>As an account owner, I want to cancel my subscription so that I’m no longer billed.</t>
  </si>
  <si>
    <t>SUB-007</t>
  </si>
  <si>
    <t>Proration</t>
  </si>
  <si>
    <t>As an account owner, I want prorated charges/credits when changing plans so that billing is fair and transparent.</t>
  </si>
  <si>
    <t>SUB-008</t>
  </si>
  <si>
    <t>Billing &amp; Invoicing</t>
  </si>
  <si>
    <t>View Invoice History</t>
  </si>
  <si>
    <t>As an account owner, I want to view past invoices so that I can track billing and submit expenses.</t>
  </si>
  <si>
    <t>SUB-009</t>
  </si>
  <si>
    <t>Download Invoices</t>
  </si>
  <si>
    <t>SUB-010</t>
  </si>
  <si>
    <t>Billing Notifications</t>
  </si>
  <si>
    <t>As an account owner, I want to receive email notifications about upcoming payments or failed charges so that I can avoid service interruptions.</t>
  </si>
  <si>
    <t>SUB-011</t>
  </si>
  <si>
    <t>Usage / Limits</t>
  </si>
  <si>
    <t>Seat Management</t>
  </si>
  <si>
    <t>SUB-012</t>
  </si>
  <si>
    <t>Over-Limit Alerts</t>
  </si>
  <si>
    <t>As an admin, I want to receive alerts when the organization approaches usage limits so that I can plan upgrades proactively.</t>
  </si>
  <si>
    <t>SUB-013</t>
  </si>
  <si>
    <t>Feature Access Enforcement</t>
  </si>
  <si>
    <t>As a user, I want certain features gated based on the subscription plan so that access aligns with our organization’s subscription.</t>
  </si>
  <si>
    <t>SUB-014</t>
  </si>
  <si>
    <t>Roles &amp; Access</t>
  </si>
  <si>
    <t>Billing Permissions</t>
  </si>
  <si>
    <t>As an admin, I want to designate who can update billing information so that financial access is controlled.</t>
  </si>
  <si>
    <t>SUB-015</t>
  </si>
  <si>
    <t>Subscription Viewer Access</t>
  </si>
  <si>
    <t>As a manager, I want read-only access to subscription details so that I can understand plan limits without modifying them.</t>
  </si>
  <si>
    <t>SUB-016</t>
  </si>
  <si>
    <t>Renewals &amp; Lifecycle</t>
  </si>
  <si>
    <t>Auto-Renew Toggle</t>
  </si>
  <si>
    <t>As an account owner, I want to enable or disable auto-renew so that I can control ongoing charges.</t>
  </si>
  <si>
    <t>SUB-017</t>
  </si>
  <si>
    <t>Trial Period</t>
  </si>
  <si>
    <t>As a new user, I want a free trial so that I can evaluate the system before committing.</t>
  </si>
  <si>
    <t>SUB-018</t>
  </si>
  <si>
    <t>Trial Expiration Reminder</t>
  </si>
  <si>
    <t>As a trial user, I want to receive a reminder before my trial ends so that I can decide whether to subscribe.</t>
  </si>
  <si>
    <t>SUB-019</t>
  </si>
  <si>
    <t>Compliance</t>
  </si>
  <si>
    <t>Tax Calculation</t>
  </si>
  <si>
    <t>As an account owner, I want taxes automatically calculated based on my location so that I stay compliant.</t>
  </si>
  <si>
    <t>SUB-020</t>
  </si>
  <si>
    <t>Business Information on Invoices</t>
  </si>
  <si>
    <t>As a finance officer, I want to enter my company’s tax and legal information so that invoices meet compliance requirements</t>
  </si>
  <si>
    <t>As an account owner, I want to downgrade my subscription tier, so that I only pay for the level of service I need.</t>
  </si>
  <si>
    <t>As an account owner, I want to enter and save my payment details, so that my subscription can be billed automatically.</t>
  </si>
  <si>
    <t>As an account owner, I want to download invoices in PDF format, so that I can keep financial records.</t>
  </si>
  <si>
    <t>As an account owner, I want to choose a subscription plan so in that way I can activate the system for my organization.</t>
  </si>
  <si>
    <t>gemma2</t>
  </si>
  <si>
    <t>As an account owner, I want to see how many seats I’ve used, and how many are remaining so that I can manage my team efficiently.</t>
  </si>
  <si>
    <t>As an account owner, I want to upgrade my subscription tier, so that I can access additional features or higher usage limits.</t>
  </si>
  <si>
    <t>Main task</t>
  </si>
  <si>
    <t>Subtask</t>
  </si>
  <si>
    <t>Category</t>
  </si>
  <si>
    <t>Learn Spanish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</si>
</sst>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applyAlignment="1">
      <alignment vertical="top" wrapText="1" indent="1"/>
    </xf>
    <xf numFmtId="0" fontId="2" fillId="2" borderId="0" xfId="0" applyFont="1" applyFill="1" applyAlignment="1">
      <alignment vertical="top" wrapText="1"/>
    </xf>
    <xf numFmtId="0" fontId="1" fillId="0" borderId="0" xfId="0" applyFont="1" applyAlignment="1">
      <alignment vertical="top" wrapText="1"/>
    </xf>
    <xf numFmtId="0" fontId="3" fillId="0" borderId="0" xfId="0" applyFont="1" applyAlignment="1">
      <alignment vertical="top" wrapText="1"/>
    </xf>
    <xf numFmtId="0" fontId="1" fillId="0" borderId="0" xfId="0" applyFont="1" applyAlignment="1">
      <alignment vertical="top" wrapText="1" indent="2"/>
    </xf>
    <xf numFmtId="0" fontId="4" fillId="3" borderId="0" xfId="0" applyFont="1" applyFill="1" applyAlignment="1">
      <alignmen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wrapText="1"/>
    </xf>
  </cellXfs>
  <cellStyles count="1">
    <cellStyle name="Normal" xfId="0" builtinId="0"/>
  </cellStyles>
  <dxfs count="13">
    <dxf>
      <numFmt numFmtId="0" formatCode="General"/>
    </dxf>
    <dxf>
      <font>
        <color rgb="FF9C0006"/>
      </font>
      <fill>
        <patternFill>
          <bgColor rgb="FFFFC7CE"/>
        </patternFill>
      </fill>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E1204-78D3-7049-A150-8F75269421C0}" name="Table1" displayName="Table1" ref="A2:J22" totalsRowShown="0" dataDxfId="12">
  <autoFilter ref="A2:J22" xr:uid="{F15E1204-78D3-7049-A150-8F75269421C0}"/>
  <tableColumns count="10">
    <tableColumn id="1" xr3:uid="{C992B11D-50FD-CD46-A070-0BE969E284F5}" name="Story id" dataDxfId="11"/>
    <tableColumn id="2" xr3:uid="{A2FAF9F2-2555-2A44-A301-E914EBC0DB76}" name="Group" dataDxfId="10"/>
    <tableColumn id="3" xr3:uid="{45678054-F3AB-6D42-AB5A-D12E698412C0}" name="Title" dataDxfId="2"/>
    <tableColumn id="4" xr3:uid="{F07557D0-9BBB-5842-9B13-EFBD42056AE8}" name="Story" dataDxfId="9"/>
    <tableColumn id="5" xr3:uid="{7B1AC909-8D50-7245-AB54-5E8A0757078A}" name="Independent" dataDxfId="8">
      <calculatedColumnFormula array="1">INVEST("INDEPENDENT", Table1[[#This Row],[Story]], $A$1)</calculatedColumnFormula>
    </tableColumn>
    <tableColumn id="6" xr3:uid="{7E4DFA06-6291-6746-BC70-F563E0154539}" name="Negotiable" dataDxfId="7">
      <calculatedColumnFormula array="1">INVEST("NEGOTIABLE", Table1[[#This Row],[Story]], A1)</calculatedColumnFormula>
    </tableColumn>
    <tableColumn id="7" xr3:uid="{CE8952E6-964F-1546-810A-D8D83382D258}" name="Valuable" dataDxfId="6">
      <calculatedColumnFormula array="1">INVEST("VALUABLE", Table1[[#This Row],[Story]], $A$1)</calculatedColumnFormula>
    </tableColumn>
    <tableColumn id="8" xr3:uid="{92F02BF5-0BAB-0048-AE6D-7DC6FCFF4551}" name="Estimable" dataDxfId="5">
      <calculatedColumnFormula array="1">INVEST("ESTIMABLE", Table1[[#This Row],[Story]], $A$1)</calculatedColumnFormula>
    </tableColumn>
    <tableColumn id="9" xr3:uid="{A8BE837F-B536-384E-A242-BDCBEE6D80F7}" name="Short" dataDxfId="4">
      <calculatedColumnFormula array="1">INVEST("SHORT", Table1[[#This Row],[Story]], $A$1)</calculatedColumnFormula>
    </tableColumn>
    <tableColumn id="10" xr3:uid="{543583E3-FD91-0949-A6A5-AC606A581448}" name="Testable" dataDxfId="3">
      <calculatedColumnFormula array="1">INVEST("TESTABLE", Table1[[#This Row],[Story]], $A$1)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AFB3AC-DE96-624C-947B-D172FEC8F3E4}" name="Table3" displayName="Table3" ref="B12:C26" totalsRowShown="0">
  <autoFilter ref="B12:C26" xr:uid="{53AFB3AC-DE96-624C-947B-D172FEC8F3E4}"/>
  <tableColumns count="2">
    <tableColumn id="1" xr3:uid="{6FF982A2-EFBD-7F40-8787-D05480E8A5D9}" name="Subtask"/>
    <tableColumn id="6" xr3:uid="{5BA435B8-A18A-6E40-95B2-7D4F8C7107E1}" name="Category" dataDxfId="0">
      <calculatedColumnFormula array="1">OLLAMA("Using an Eisenhower box work out if this task should be done now, scheduled, etc. YOU MUST ONLY reply with 'Do Now', 'Schedule', 'Delegate' or 'Skip'", Table3[[#This Row],[Subtask]])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A1:J22"/>
  <sheetViews>
    <sheetView zoomScale="150" zoomScaleNormal="150" workbookViewId="0">
      <selection activeCell="F4" sqref="F4"/>
    </sheetView>
  </sheetViews>
  <sheetFormatPr baseColWidth="10" defaultRowHeight="15" x14ac:dyDescent="0.2"/>
  <cols>
    <col min="1" max="1" width="10.5" bestFit="1" customWidth="1"/>
    <col min="2" max="2" width="19.33203125" bestFit="1" customWidth="1"/>
    <col min="3" max="3" width="19.6640625" style="9" customWidth="1"/>
    <col min="4" max="4" width="37.6640625" customWidth="1"/>
    <col min="5" max="5" width="20.33203125" customWidth="1"/>
    <col min="6" max="6" width="17.1640625" customWidth="1"/>
    <col min="7" max="7" width="20.83203125" customWidth="1"/>
    <col min="8" max="8" width="21.83203125" customWidth="1"/>
    <col min="9" max="9" width="19.6640625" customWidth="1"/>
    <col min="10" max="10" width="21.1640625" customWidth="1"/>
  </cols>
  <sheetData>
    <row r="1" spans="1:10" x14ac:dyDescent="0.2">
      <c r="A1" t="s">
        <v>109</v>
      </c>
    </row>
    <row r="2" spans="1:10" ht="16" x14ac:dyDescent="0.2">
      <c r="A2" t="s">
        <v>35</v>
      </c>
      <c r="B2" t="s">
        <v>36</v>
      </c>
      <c r="C2" s="9" t="s">
        <v>45</v>
      </c>
      <c r="D2" t="s">
        <v>37</v>
      </c>
      <c r="E2" t="s">
        <v>38</v>
      </c>
      <c r="F2" t="s">
        <v>41</v>
      </c>
      <c r="G2" t="s">
        <v>39</v>
      </c>
      <c r="H2" t="s">
        <v>40</v>
      </c>
      <c r="I2" t="s">
        <v>42</v>
      </c>
      <c r="J2" t="s">
        <v>43</v>
      </c>
    </row>
    <row r="3" spans="1:10" s="7" customFormat="1" ht="144" x14ac:dyDescent="0.2">
      <c r="A3" s="7">
        <v>1</v>
      </c>
      <c r="B3" s="7" t="s">
        <v>44</v>
      </c>
      <c r="C3" s="8" t="s">
        <v>46</v>
      </c>
      <c r="D3" s="8" t="s">
        <v>108</v>
      </c>
      <c r="E3" s="8" t="str" cm="1">
        <f t="array" ref="E3">INVEST("INDEPENDENT", Table1[[#This Row],[Story]], $A$1)</f>
        <v>FALSE
_x000D_The story does not specify any measurable behavior or outcomes that can be verified through acceptance criteria, tests, or observable results.</v>
      </c>
      <c r="F3" s="8" t="str" cm="1">
        <f t="array" ref="F3">INVEST("NEGOTIABLE", Table1[[#This Row],[Story]], $A$1)</f>
        <v>FALSE
_x000D_The story does not specify any measurable behavior or outcomes that can be verified through acceptance criteria, tests, or observable results. The outcome is subjective and vague ("activate the system").</v>
      </c>
      <c r="G3" s="8" t="str" cm="1">
        <f t="array" ref="G3">INVEST("VALUABLE", Table1[[#This Row],[Story]], $A$1)</f>
        <v>FALSE. The story lacks specific and measurable outcomes or behaviors that can be verified through acceptance criteria, tests, or observable results.</v>
      </c>
      <c r="H3" s="8" t="str" cm="1">
        <f t="array" ref="H3">INVEST("ESTIMABLE", Table1[[#This Row],[Story]], $A$1)</f>
        <v>FALSE. The story lacks specific and measurable outcomes or behaviors that can be verified through acceptance criteria, tests, or observable results.</v>
      </c>
      <c r="I3" s="8" t="str" cm="1">
        <f t="array" ref="I3">INVEST("SHORT", Table1[[#This Row],[Story]], $A$1)</f>
        <v>FALSE. The story lacks specific and measurable outcomes or behaviors that can be verified through acceptance criteria, tests, or observable results.</v>
      </c>
      <c r="J3" s="8" t="str" cm="1">
        <f t="array" ref="J3">INVEST("TESTABLE", Table1[[#This Row],[Story]], $A$1)</f>
        <v>FALSE
_x000D_The story does not specify any measurable behavior or outcomes that can be verified through tests or observable results.</v>
      </c>
    </row>
    <row r="4" spans="1:10" ht="155" customHeight="1" x14ac:dyDescent="0.2">
      <c r="A4" s="7" t="s">
        <v>47</v>
      </c>
      <c r="B4" s="7" t="s">
        <v>44</v>
      </c>
      <c r="C4" s="8" t="s">
        <v>48</v>
      </c>
      <c r="D4" s="8" t="s">
        <v>106</v>
      </c>
      <c r="E4" s="8" t="str" cm="1">
        <f t="array" ref="E4">INVEST("INDEPENDENT", Table1[[#This Row],[Story]], $A$1)</f>
        <v>TRUE</v>
      </c>
      <c r="F4" s="8" t="str" cm="1">
        <f t="array" ref="F4">INVEST("NEGOTIABLE", Table1[[#This Row],[Story]], A1)</f>
        <v>TRUE</v>
      </c>
      <c r="G4" s="8" t="str" cm="1">
        <f t="array" ref="G4">INVEST("VALUABLE", Table1[[#This Row],[Story]], $A$1)</f>
        <v>TRUE</v>
      </c>
      <c r="H4" s="8" t="str" cm="1">
        <f t="array" ref="H4">INVEST("ESTIMABLE", Table1[[#This Row],[Story]], $A$1)</f>
        <v>TRUE</v>
      </c>
      <c r="I4" s="8" t="str" cm="1">
        <f t="array" ref="I4">INVEST("SHORT", Table1[[#This Row],[Story]], $A$1)</f>
        <v>TRUE</v>
      </c>
      <c r="J4" s="8" t="str" cm="1">
        <f t="array" ref="J4">INVEST("TESTABLE", Table1[[#This Row],[Story]], $A$1)</f>
        <v>TRUE</v>
      </c>
    </row>
    <row r="5" spans="1:10" ht="48" x14ac:dyDescent="0.2">
      <c r="A5" s="7" t="s">
        <v>49</v>
      </c>
      <c r="B5" s="7" t="s">
        <v>44</v>
      </c>
      <c r="C5" s="8" t="s">
        <v>50</v>
      </c>
      <c r="D5" s="8" t="s">
        <v>51</v>
      </c>
      <c r="E5" s="8" t="str" cm="1">
        <f t="array" ref="E5">INVEST("INDEPENDENT", Table1[[#This Row],[Story]], $A$1)</f>
        <v>TRUE</v>
      </c>
      <c r="F5" s="8" t="str" cm="1">
        <f t="array" ref="F5">INVEST("NEGOTIABLE", Table1[[#This Row],[Story]], A3)</f>
        <v>TRUE</v>
      </c>
      <c r="G5" s="8" t="str" cm="1">
        <f t="array" ref="G5">INVEST("VALUABLE", Table1[[#This Row],[Story]], $A$1)</f>
        <v>TRUE</v>
      </c>
      <c r="H5" s="8" t="str" cm="1">
        <f t="array" ref="H5">INVEST("ESTIMABLE", Table1[[#This Row],[Story]], $A$1)</f>
        <v>TRUE</v>
      </c>
      <c r="I5" s="8" t="str" cm="1">
        <f t="array" ref="I5">INVEST("SHORT", Table1[[#This Row],[Story]], $A$1)</f>
        <v>TRUE</v>
      </c>
      <c r="J5" s="8" t="str" cm="1">
        <f t="array" ref="J5">INVEST("TESTABLE", Table1[[#This Row],[Story]], $A$1)</f>
        <v>TRUE</v>
      </c>
    </row>
    <row r="6" spans="1:10" ht="240" x14ac:dyDescent="0.2">
      <c r="A6" s="7" t="s">
        <v>52</v>
      </c>
      <c r="B6" s="7" t="s">
        <v>53</v>
      </c>
      <c r="C6" s="8" t="s">
        <v>54</v>
      </c>
      <c r="D6" s="8" t="s">
        <v>111</v>
      </c>
      <c r="E6" s="8" t="str" cm="1">
        <f t="array" ref="E6">INVEST("INDEPENDENT", Table1[[#This Row],[Story]], $A$1)</f>
        <v>TRUE</v>
      </c>
      <c r="F6" s="8" t="str" cm="1">
        <f t="array" ref="F6">INVEST("NEGOTIABLE", Table1[[#This Row],[Story]], A4)</f>
        <v>TRUE</v>
      </c>
      <c r="G6" s="8" t="str" cm="1">
        <f t="array" ref="G6">INVEST("VALUABLE", Table1[[#This Row],[Story]], $A$1)</f>
        <v>TRUE</v>
      </c>
      <c r="H6" s="8" t="str" cm="1">
        <f t="array" ref="H6">INVEST("ESTIMABLE", Table1[[#This Row],[Story]], $A$1)</f>
        <v>TRUE</v>
      </c>
      <c r="I6" s="8" t="str" cm="1">
        <f t="array" ref="I6">INVEST("SHORT", Table1[[#This Row],[Story]], $A$1)</f>
        <v>TRUE</v>
      </c>
      <c r="J6" s="8" t="str" cm="1">
        <f t="array" ref="J6">INVEST("TESTABLE", Table1[[#This Row],[Story]], $A$1)</f>
        <v>TRUE</v>
      </c>
    </row>
    <row r="7" spans="1:10" ht="48" x14ac:dyDescent="0.2">
      <c r="A7" s="7" t="s">
        <v>55</v>
      </c>
      <c r="B7" s="7" t="s">
        <v>53</v>
      </c>
      <c r="C7" s="8" t="s">
        <v>56</v>
      </c>
      <c r="D7" s="8" t="s">
        <v>105</v>
      </c>
      <c r="E7" s="8" t="str" cm="1">
        <f t="array" ref="E7">INVEST("INDEPENDENT", Table1[[#This Row],[Story]], $A$1)</f>
        <v>TRUE</v>
      </c>
      <c r="F7" s="8" t="str" cm="1">
        <f t="array" ref="F7">INVEST("NEGOTIABLE", Table1[[#This Row],[Story]], A5)</f>
        <v>TRUE</v>
      </c>
      <c r="G7" s="8" t="str" cm="1">
        <f t="array" ref="G7">INVEST("VALUABLE", Table1[[#This Row],[Story]], $A$1)</f>
        <v>TRUE</v>
      </c>
      <c r="H7" s="8" t="str" cm="1">
        <f t="array" ref="H7">INVEST("ESTIMABLE", Table1[[#This Row],[Story]], $A$1)</f>
        <v>TRUE</v>
      </c>
      <c r="I7" s="8" t="str" cm="1">
        <f t="array" ref="I7">INVEST("SHORT", Table1[[#This Row],[Story]], $A$1)</f>
        <v>TRUE</v>
      </c>
      <c r="J7" s="8" t="str" cm="1">
        <f t="array" ref="J7">INVEST("TESTABLE", Table1[[#This Row],[Story]], $A$1)</f>
        <v>TRUE</v>
      </c>
    </row>
    <row r="8" spans="1:10" ht="32" x14ac:dyDescent="0.2">
      <c r="A8" s="7" t="s">
        <v>57</v>
      </c>
      <c r="B8" s="7" t="s">
        <v>53</v>
      </c>
      <c r="C8" s="8" t="s">
        <v>58</v>
      </c>
      <c r="D8" s="8" t="s">
        <v>59</v>
      </c>
      <c r="E8" s="8" t="str" cm="1">
        <f t="array" ref="E8">INVEST("INDEPENDENT", Table1[[#This Row],[Story]], $A$1)</f>
        <v>TRUE</v>
      </c>
      <c r="F8" s="8" t="str" cm="1">
        <f t="array" ref="F8">INVEST("NEGOTIABLE", Table1[[#This Row],[Story]], A6)</f>
        <v>TRUE</v>
      </c>
      <c r="G8" s="8" t="str" cm="1">
        <f t="array" ref="G8">INVEST("VALUABLE", Table1[[#This Row],[Story]], $A$1)</f>
        <v>TRUE</v>
      </c>
      <c r="H8" s="8" t="str" cm="1">
        <f t="array" ref="H8">INVEST("ESTIMABLE", Table1[[#This Row],[Story]], $A$1)</f>
        <v>TRUE</v>
      </c>
      <c r="I8" s="8" t="str" cm="1">
        <f t="array" ref="I8">INVEST("SHORT", Table1[[#This Row],[Story]], $A$1)</f>
        <v>TRUE</v>
      </c>
      <c r="J8" s="8" t="str" cm="1">
        <f t="array" ref="J8">INVEST("TESTABLE", Table1[[#This Row],[Story]], $A$1)</f>
        <v>FALSE
_x000D_The story lacks specific outcomes or behaviors that can be verified through tests or observable results. The desired outcome is too vague ("no longer billed"), making it difficult to determine if the requirement has been met.</v>
      </c>
    </row>
    <row r="9" spans="1:10" ht="48" x14ac:dyDescent="0.2">
      <c r="A9" s="7" t="s">
        <v>60</v>
      </c>
      <c r="B9" s="7" t="s">
        <v>53</v>
      </c>
      <c r="C9" s="8" t="s">
        <v>61</v>
      </c>
      <c r="D9" s="8" t="s">
        <v>62</v>
      </c>
      <c r="E9" s="8" t="str" cm="1">
        <f t="array" ref="E9">INVEST("INDEPENDENT", Table1[[#This Row],[Story]], $A$1)</f>
        <v>TRUE</v>
      </c>
      <c r="F9" s="8" t="str" cm="1">
        <f t="array" ref="F9">INVEST("NEGOTIABLE", Table1[[#This Row],[Story]], A7)</f>
        <v>TRUE</v>
      </c>
      <c r="G9" s="8" t="str" cm="1">
        <f t="array" ref="G9">INVEST("VALUABLE", Table1[[#This Row],[Story]], $A$1)</f>
        <v>TRUE</v>
      </c>
      <c r="H9" s="8" t="str" cm="1">
        <f t="array" ref="H9">INVEST("ESTIMABLE", Table1[[#This Row],[Story]], $A$1)</f>
        <v>TRUE</v>
      </c>
      <c r="I9" s="8" t="str" cm="1">
        <f t="array" ref="I9">INVEST("SHORT", Table1[[#This Row],[Story]], $A$1)</f>
        <v>TRUE</v>
      </c>
      <c r="J9" s="8" t="str" cm="1">
        <f t="array" ref="J9">INVEST("TESTABLE", Table1[[#This Row],[Story]], $A$1)</f>
        <v>TRUE</v>
      </c>
    </row>
    <row r="10" spans="1:10" ht="48" x14ac:dyDescent="0.2">
      <c r="A10" s="7" t="s">
        <v>63</v>
      </c>
      <c r="B10" s="7" t="s">
        <v>64</v>
      </c>
      <c r="C10" s="8" t="s">
        <v>65</v>
      </c>
      <c r="D10" s="8" t="s">
        <v>66</v>
      </c>
      <c r="E10" s="8" t="str" cm="1">
        <f t="array" ref="E10">INVEST("INDEPENDENT", Table1[[#This Row],[Story]], $A$1)</f>
        <v>TRUE</v>
      </c>
      <c r="F10" s="8" t="str" cm="1">
        <f t="array" ref="F10">INVEST("NEGOTIABLE", Table1[[#This Row],[Story]], A8)</f>
        <v>TRUE</v>
      </c>
      <c r="G10" s="8" t="str" cm="1">
        <f t="array" ref="G10">INVEST("VALUABLE", Table1[[#This Row],[Story]], $A$1)</f>
        <v>TRUE</v>
      </c>
      <c r="H10" s="8" t="str" cm="1">
        <f t="array" ref="H10">INVEST("ESTIMABLE", Table1[[#This Row],[Story]], $A$1)</f>
        <v>TRUE</v>
      </c>
      <c r="I10" s="8" t="str" cm="1">
        <f t="array" ref="I10">INVEST("SHORT", Table1[[#This Row],[Story]], $A$1)</f>
        <v>TRUE</v>
      </c>
      <c r="J10" s="8" t="str" cm="1">
        <f t="array" ref="J10">INVEST("TESTABLE", Table1[[#This Row],[Story]], $A$1)</f>
        <v>TRUE</v>
      </c>
    </row>
    <row r="11" spans="1:10" ht="48" x14ac:dyDescent="0.2">
      <c r="A11" s="7" t="s">
        <v>67</v>
      </c>
      <c r="B11" s="7" t="s">
        <v>64</v>
      </c>
      <c r="C11" s="8" t="s">
        <v>68</v>
      </c>
      <c r="D11" s="8" t="s">
        <v>107</v>
      </c>
      <c r="E11" s="8" t="str" cm="1">
        <f t="array" ref="E11">INVEST("INDEPENDENT", Table1[[#This Row],[Story]], $A$1)</f>
        <v>TRUE</v>
      </c>
      <c r="F11" s="8" t="str" cm="1">
        <f t="array" ref="F11">INVEST("NEGOTIABLE", Table1[[#This Row],[Story]], A9)</f>
        <v>TRUE</v>
      </c>
      <c r="G11" s="8" t="str" cm="1">
        <f t="array" ref="G11">INVEST("VALUABLE", Table1[[#This Row],[Story]], $A$1)</f>
        <v>TRUE</v>
      </c>
      <c r="H11" s="8" t="str" cm="1">
        <f t="array" ref="H11">INVEST("ESTIMABLE", Table1[[#This Row],[Story]], $A$1)</f>
        <v>TRUE</v>
      </c>
      <c r="I11" s="8" t="str" cm="1">
        <f t="array" ref="I11">INVEST("SHORT", Table1[[#This Row],[Story]], $A$1)</f>
        <v>TRUE</v>
      </c>
      <c r="J11" s="8" t="str" cm="1">
        <f t="array" ref="J11">INVEST("TESTABLE", Table1[[#This Row],[Story]], $A$1)</f>
        <v>TRUE</v>
      </c>
    </row>
    <row r="12" spans="1:10" ht="64" x14ac:dyDescent="0.2">
      <c r="A12" s="7" t="s">
        <v>69</v>
      </c>
      <c r="B12" s="7" t="s">
        <v>64</v>
      </c>
      <c r="C12" s="8" t="s">
        <v>70</v>
      </c>
      <c r="D12" s="8" t="s">
        <v>71</v>
      </c>
      <c r="E12" s="8" t="str" cm="1">
        <f t="array" ref="E12">INVEST("INDEPENDENT", Table1[[#This Row],[Story]], $A$1)</f>
        <v>TRUE</v>
      </c>
      <c r="F12" s="8" t="str" cm="1">
        <f t="array" ref="F12">INVEST("NEGOTIABLE", Table1[[#This Row],[Story]], A10)</f>
        <v>TRUE</v>
      </c>
      <c r="G12" s="8" t="str" cm="1">
        <f t="array" ref="G12">INVEST("VALUABLE", Table1[[#This Row],[Story]], $A$1)</f>
        <v>TRUE</v>
      </c>
      <c r="H12" s="8" t="str" cm="1">
        <f t="array" ref="H12">INVEST("ESTIMABLE", Table1[[#This Row],[Story]], $A$1)</f>
        <v>TRUE</v>
      </c>
      <c r="I12" s="8" t="str" cm="1">
        <f t="array" ref="I12">INVEST("SHORT", Table1[[#This Row],[Story]], $A$1)</f>
        <v>TRUE</v>
      </c>
      <c r="J12" s="8" t="str" cm="1">
        <f t="array" ref="J12">INVEST("TESTABLE", Table1[[#This Row],[Story]], $A$1)</f>
        <v>TRUE</v>
      </c>
    </row>
    <row r="13" spans="1:10" ht="48" x14ac:dyDescent="0.2">
      <c r="A13" s="7" t="s">
        <v>72</v>
      </c>
      <c r="B13" s="7" t="s">
        <v>73</v>
      </c>
      <c r="C13" s="8" t="s">
        <v>74</v>
      </c>
      <c r="D13" s="8" t="s">
        <v>110</v>
      </c>
      <c r="E13" s="8" t="str" cm="1">
        <f t="array" ref="E13">INVEST("INDEPENDENT", Table1[[#This Row],[Story]], $A$1)</f>
        <v>TRUE</v>
      </c>
      <c r="F13" s="8" t="str" cm="1">
        <f t="array" ref="F13">INVEST("NEGOTIABLE", Table1[[#This Row],[Story]], A11)</f>
        <v>TRUE</v>
      </c>
      <c r="G13" s="8" t="str" cm="1">
        <f t="array" ref="G13">INVEST("VALUABLE", Table1[[#This Row],[Story]], $A$1)</f>
        <v>TRUE</v>
      </c>
      <c r="H13" s="8" t="str" cm="1">
        <f t="array" ref="H13">INVEST("ESTIMABLE", Table1[[#This Row],[Story]], $A$1)</f>
        <v>TRUE</v>
      </c>
      <c r="I13" s="8" t="str" cm="1">
        <f t="array" ref="I13">INVEST("SHORT", Table1[[#This Row],[Story]], $A$1)</f>
        <v>TRUE</v>
      </c>
      <c r="J13" s="8" t="str" cm="1">
        <f t="array" ref="J13">INVEST("TESTABLE", Table1[[#This Row],[Story]], $A$1)</f>
        <v>TRUE</v>
      </c>
    </row>
    <row r="14" spans="1:10" ht="48" x14ac:dyDescent="0.2">
      <c r="A14" s="7" t="s">
        <v>75</v>
      </c>
      <c r="B14" s="7" t="s">
        <v>73</v>
      </c>
      <c r="C14" s="8" t="s">
        <v>76</v>
      </c>
      <c r="D14" s="8" t="s">
        <v>77</v>
      </c>
      <c r="E14" s="8" t="str" cm="1">
        <f t="array" ref="E14">INVEST("INDEPENDENT", Table1[[#This Row],[Story]], $A$1)</f>
        <v>TRUE</v>
      </c>
      <c r="F14" s="8" t="str" cm="1">
        <f t="array" ref="F14">INVEST("NEGOTIABLE", Table1[[#This Row],[Story]], A12)</f>
        <v>TRUE</v>
      </c>
      <c r="G14" s="8" t="str" cm="1">
        <f t="array" ref="G14">INVEST("VALUABLE", Table1[[#This Row],[Story]], $A$1)</f>
        <v>TRUE</v>
      </c>
      <c r="H14" s="8" t="str" cm="1">
        <f t="array" ref="H14">INVEST("ESTIMABLE", Table1[[#This Row],[Story]], $A$1)</f>
        <v>TRUE</v>
      </c>
      <c r="I14" s="8" t="str" cm="1">
        <f t="array" ref="I14">INVEST("SHORT", Table1[[#This Row],[Story]], $A$1)</f>
        <v>TRUE</v>
      </c>
      <c r="J14" s="8" t="str" cm="1">
        <f t="array" ref="J14">INVEST("TESTABLE", Table1[[#This Row],[Story]], $A$1)</f>
        <v>TRUE</v>
      </c>
    </row>
    <row r="15" spans="1:10" ht="112" x14ac:dyDescent="0.2">
      <c r="A15" s="7" t="s">
        <v>78</v>
      </c>
      <c r="B15" s="7" t="s">
        <v>73</v>
      </c>
      <c r="C15" s="8" t="s">
        <v>79</v>
      </c>
      <c r="D15" s="8" t="s">
        <v>80</v>
      </c>
      <c r="E15" s="8" t="str" cm="1">
        <f t="array" ref="E15">INVEST("INDEPENDENT", Table1[[#This Row],[Story]], $A$1)</f>
        <v>FALSE. The story lacks specific and measurable outcomes or behaviors that can be verified through acceptance criteria, tests, or observable results.</v>
      </c>
      <c r="F15" s="8" t="str" cm="1">
        <f t="array" ref="F15">INVEST("NEGOTIABLE", Table1[[#This Row],[Story]], A13)</f>
        <v>TRUE</v>
      </c>
      <c r="G15" s="8" t="str" cm="1">
        <f t="array" ref="G15">INVEST("VALUABLE", Table1[[#This Row],[Story]], $A$1)</f>
        <v>FALSE. The story lacks specific and measurable outcomes or behaviors that can be verified through acceptance criteria, tests, or observable results.</v>
      </c>
      <c r="H15" s="8" t="str" cm="1">
        <f t="array" ref="H15">INVEST("ESTIMABLE", Table1[[#This Row],[Story]], $A$1)</f>
        <v>FALSE. The story lacks specific and measurable outcomes or behaviors that can be verified through acceptance criteria, tests, or observable results.</v>
      </c>
      <c r="I15" s="8" t="str" cm="1">
        <f t="array" ref="I15">INVEST("SHORT", Table1[[#This Row],[Story]], $A$1)</f>
        <v>FALSE. The story lacks specific and measurable outcomes or behaviors that can be verified through acceptance criteria, tests, or observable results.</v>
      </c>
      <c r="J15" s="8" t="str" cm="1">
        <f t="array" ref="J15">INVEST("TESTABLE", Table1[[#This Row],[Story]], $A$1)</f>
        <v>FALSE. The story lacks specific and measurable outcomes or behaviors that can be verified through tests or observable results.</v>
      </c>
    </row>
    <row r="16" spans="1:10" ht="48" x14ac:dyDescent="0.2">
      <c r="A16" s="7" t="s">
        <v>81</v>
      </c>
      <c r="B16" s="7" t="s">
        <v>82</v>
      </c>
      <c r="C16" s="8" t="s">
        <v>83</v>
      </c>
      <c r="D16" s="8" t="s">
        <v>84</v>
      </c>
      <c r="E16" s="8" t="str" cm="1">
        <f t="array" ref="E16">INVEST("INDEPENDENT", Table1[[#This Row],[Story]], $A$1)</f>
        <v>TRUE</v>
      </c>
      <c r="F16" s="8" t="str" cm="1">
        <f t="array" ref="F16">INVEST("NEGOTIABLE", Table1[[#This Row],[Story]], A14)</f>
        <v>TRUE</v>
      </c>
      <c r="G16" s="8" t="str" cm="1">
        <f t="array" ref="G16">INVEST("VALUABLE", Table1[[#This Row],[Story]], $A$1)</f>
        <v>TRUE</v>
      </c>
      <c r="H16" s="8" t="str" cm="1">
        <f t="array" ref="H16">INVEST("ESTIMABLE", Table1[[#This Row],[Story]], $A$1)</f>
        <v>TRUE</v>
      </c>
      <c r="I16" s="8" t="str" cm="1">
        <f t="array" ref="I16">INVEST("SHORT", Table1[[#This Row],[Story]], $A$1)</f>
        <v>TRUE</v>
      </c>
      <c r="J16" s="8" t="str" cm="1">
        <f t="array" ref="J16">INVEST("TESTABLE", Table1[[#This Row],[Story]], $A$1)</f>
        <v>TRUE</v>
      </c>
    </row>
    <row r="17" spans="1:10" ht="48" x14ac:dyDescent="0.2">
      <c r="A17" s="7" t="s">
        <v>85</v>
      </c>
      <c r="B17" s="7" t="s">
        <v>82</v>
      </c>
      <c r="C17" s="8" t="s">
        <v>86</v>
      </c>
      <c r="D17" s="8" t="s">
        <v>87</v>
      </c>
      <c r="E17" s="8" t="str" cm="1">
        <f t="array" ref="E17">INVEST("INDEPENDENT", Table1[[#This Row],[Story]], $A$1)</f>
        <v>TRUE</v>
      </c>
      <c r="F17" s="8" t="str" cm="1">
        <f t="array" ref="F17">INVEST("NEGOTIABLE", Table1[[#This Row],[Story]], A15)</f>
        <v>TRUE</v>
      </c>
      <c r="G17" s="8" t="str" cm="1">
        <f t="array" ref="G17">INVEST("VALUABLE", Table1[[#This Row],[Story]], $A$1)</f>
        <v>TRUE</v>
      </c>
      <c r="H17" s="8" t="str" cm="1">
        <f t="array" ref="H17">INVEST("ESTIMABLE", Table1[[#This Row],[Story]], $A$1)</f>
        <v>TRUE</v>
      </c>
      <c r="I17" s="8" t="str" cm="1">
        <f t="array" ref="I17">INVEST("SHORT", Table1[[#This Row],[Story]], $A$1)</f>
        <v>TRUE</v>
      </c>
      <c r="J17" s="8" t="str" cm="1">
        <f t="array" ref="J17">INVEST("TESTABLE", Table1[[#This Row],[Story]], $A$1)</f>
        <v>TRUE</v>
      </c>
    </row>
    <row r="18" spans="1:10" ht="48" x14ac:dyDescent="0.2">
      <c r="A18" s="7" t="s">
        <v>88</v>
      </c>
      <c r="B18" s="7" t="s">
        <v>89</v>
      </c>
      <c r="C18" s="8" t="s">
        <v>90</v>
      </c>
      <c r="D18" s="8" t="s">
        <v>91</v>
      </c>
      <c r="E18" s="8" t="str" cm="1">
        <f t="array" ref="E18">INVEST("INDEPENDENT", Table1[[#This Row],[Story]], $A$1)</f>
        <v>TRUE</v>
      </c>
      <c r="F18" s="8" t="str" cm="1">
        <f t="array" ref="F18">INVEST("NEGOTIABLE", Table1[[#This Row],[Story]], A16)</f>
        <v>TRUE</v>
      </c>
      <c r="G18" s="8" t="str" cm="1">
        <f t="array" ref="G18">INVEST("VALUABLE", Table1[[#This Row],[Story]], $A$1)</f>
        <v>TRUE</v>
      </c>
      <c r="H18" s="8" t="str" cm="1">
        <f t="array" ref="H18">INVEST("ESTIMABLE", Table1[[#This Row],[Story]], $A$1)</f>
        <v>TRUE</v>
      </c>
      <c r="I18" s="8" t="str" cm="1">
        <f t="array" ref="I18">INVEST("SHORT", Table1[[#This Row],[Story]], $A$1)</f>
        <v>TRUE</v>
      </c>
      <c r="J18" s="8" t="str" cm="1">
        <f t="array" ref="J18">INVEST("TESTABLE", Table1[[#This Row],[Story]], $A$1)</f>
        <v>TRUE</v>
      </c>
    </row>
    <row r="19" spans="1:10" ht="32" x14ac:dyDescent="0.2">
      <c r="A19" s="7" t="s">
        <v>92</v>
      </c>
      <c r="B19" s="7" t="s">
        <v>89</v>
      </c>
      <c r="C19" s="8" t="s">
        <v>93</v>
      </c>
      <c r="D19" s="8" t="s">
        <v>94</v>
      </c>
      <c r="E19" s="8" t="str" cm="1">
        <f t="array" ref="E19">INVEST("INDEPENDENT", Table1[[#This Row],[Story]], $A$1)</f>
        <v>TRUE</v>
      </c>
      <c r="F19" s="8" t="str" cm="1">
        <f t="array" ref="F19">INVEST("NEGOTIABLE", Table1[[#This Row],[Story]], A17)</f>
        <v>TRUE</v>
      </c>
      <c r="G19" s="8" t="str" cm="1">
        <f t="array" ref="G19">INVEST("VALUABLE", Table1[[#This Row],[Story]], $A$1)</f>
        <v>TRUE</v>
      </c>
      <c r="H19" s="8" t="str" cm="1">
        <f t="array" ref="H19">INVEST("ESTIMABLE", Table1[[#This Row],[Story]], $A$1)</f>
        <v>TRUE</v>
      </c>
      <c r="I19" s="8" t="str" cm="1">
        <f t="array" ref="I19">INVEST("SHORT", Table1[[#This Row],[Story]], $A$1)</f>
        <v>TRUE</v>
      </c>
      <c r="J19" s="8" t="str" cm="1">
        <f t="array" ref="J19">INVEST("TESTABLE", Table1[[#This Row],[Story]], $A$1)</f>
        <v>TRUE</v>
      </c>
    </row>
    <row r="20" spans="1:10" ht="48" x14ac:dyDescent="0.2">
      <c r="A20" s="7" t="s">
        <v>95</v>
      </c>
      <c r="B20" s="7" t="s">
        <v>89</v>
      </c>
      <c r="C20" s="8" t="s">
        <v>96</v>
      </c>
      <c r="D20" s="8" t="s">
        <v>97</v>
      </c>
      <c r="E20" s="8" t="str" cm="1">
        <f t="array" ref="E20">INVEST("INDEPENDENT", Table1[[#This Row],[Story]], $A$1)</f>
        <v>TRUE</v>
      </c>
      <c r="F20" s="8" t="str" cm="1">
        <f t="array" ref="F20">INVEST("NEGOTIABLE", Table1[[#This Row],[Story]], A18)</f>
        <v>TRUE</v>
      </c>
      <c r="G20" s="8" t="str" cm="1">
        <f t="array" ref="G20">INVEST("VALUABLE", Table1[[#This Row],[Story]], $A$1)</f>
        <v>TRUE</v>
      </c>
      <c r="H20" s="8" t="str" cm="1">
        <f t="array" ref="H20">INVEST("ESTIMABLE", Table1[[#This Row],[Story]], $A$1)</f>
        <v>TRUE</v>
      </c>
      <c r="I20" s="8" t="str" cm="1">
        <f t="array" ref="I20">INVEST("SHORT", Table1[[#This Row],[Story]], $A$1)</f>
        <v>TRUE</v>
      </c>
      <c r="J20" s="8" t="str" cm="1">
        <f t="array" ref="J20">INVEST("TESTABLE", Table1[[#This Row],[Story]], $A$1)</f>
        <v>TRUE</v>
      </c>
    </row>
    <row r="21" spans="1:10" ht="48" x14ac:dyDescent="0.2">
      <c r="A21" s="7" t="s">
        <v>98</v>
      </c>
      <c r="B21" s="7" t="s">
        <v>99</v>
      </c>
      <c r="C21" s="8" t="s">
        <v>100</v>
      </c>
      <c r="D21" s="8" t="s">
        <v>101</v>
      </c>
      <c r="E21" s="8" t="str" cm="1">
        <f t="array" ref="E21">INVEST("INDEPENDENT", Table1[[#This Row],[Story]], $A$1)</f>
        <v>TRUE</v>
      </c>
      <c r="F21" s="8" t="str" cm="1">
        <f t="array" ref="F21">INVEST("NEGOTIABLE", Table1[[#This Row],[Story]], A19)</f>
        <v>TRUE</v>
      </c>
      <c r="G21" s="8" t="str" cm="1">
        <f t="array" ref="G21">INVEST("VALUABLE", Table1[[#This Row],[Story]], $A$1)</f>
        <v>TRUE</v>
      </c>
      <c r="H21" s="8" t="str" cm="1">
        <f t="array" ref="H21">INVEST("ESTIMABLE", Table1[[#This Row],[Story]], $A$1)</f>
        <v>TRUE</v>
      </c>
      <c r="I21" s="8" t="str" cm="1">
        <f t="array" ref="I21">INVEST("SHORT", Table1[[#This Row],[Story]], $A$1)</f>
        <v>TRUE</v>
      </c>
      <c r="J21" s="8" t="str" cm="1">
        <f t="array" ref="J21">INVEST("TESTABLE", Table1[[#This Row],[Story]], $A$1)</f>
        <v>TRUE</v>
      </c>
    </row>
    <row r="22" spans="1:10" ht="48" x14ac:dyDescent="0.2">
      <c r="A22" s="7" t="s">
        <v>102</v>
      </c>
      <c r="B22" s="7" t="s">
        <v>99</v>
      </c>
      <c r="C22" s="8" t="s">
        <v>103</v>
      </c>
      <c r="D22" s="8" t="s">
        <v>104</v>
      </c>
      <c r="E22" s="8" t="str" cm="1">
        <f t="array" ref="E22">INVEST("INDEPENDENT", Table1[[#This Row],[Story]], $A$1)</f>
        <v>FALSE
_x000D_The story lacks specific outcomes or behaviors that can be verified through acceptance criteria, tests, or observable results. The outcome is subjective ("invoices meet compliance requirements") and does not provide a clear understanding of what "compliance" means in this context.</v>
      </c>
      <c r="F22" s="8" t="str" cm="1">
        <f t="array" ref="F22">INVEST("NEGOTIABLE", Table1[[#This Row],[Story]], A20)</f>
        <v>TRUE</v>
      </c>
      <c r="G22" s="8" t="str" cm="1">
        <f t="array" ref="G22">INVEST("VALUABLE", Table1[[#This Row],[Story]], $A$1)</f>
        <v>TRUE</v>
      </c>
      <c r="H22" s="8" t="str" cm="1">
        <f t="array" ref="H22">INVEST("ESTIMABLE", Table1[[#This Row],[Story]], $A$1)</f>
        <v>TRUE</v>
      </c>
      <c r="I22" s="8" t="str" cm="1">
        <f t="array" ref="I22">INVEST("SHORT", Table1[[#This Row],[Story]], $A$1)</f>
        <v>FALSE. The story lacks specific outcomes or behaviors that can be verified through acceptance criteria, tests, or observable results.</v>
      </c>
      <c r="J22" s="8" t="str" cm="1">
        <f t="array" ref="J22">INVEST("TESTABLE", Table1[[#This Row],[Story]], $A$1)</f>
        <v>FALSE
_x000D_The story lacks specific outcomes or behaviors that can be verified through tests or observable results. The phrase "invoices meet compliance requirements" is too vague to determine testability.</v>
      </c>
    </row>
  </sheetData>
  <conditionalFormatting sqref="E3:J22">
    <cfRule type="notContainsText" dxfId="1" priority="1" operator="notContains" text="TRUE">
      <formula>ISERROR(SEARCH("TRUE",E3))</formula>
    </cfRule>
  </conditionalFormatting>
  <pageMargins left="0.7" right="0.7" top="0.75" bottom="0.75"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91249-A391-9547-9974-CE8EA8B24681}">
  <dimension ref="B2:E26"/>
  <sheetViews>
    <sheetView tabSelected="1" zoomScale="150" zoomScaleNormal="150" workbookViewId="0">
      <selection activeCell="B4" sqref="B4"/>
    </sheetView>
  </sheetViews>
  <sheetFormatPr baseColWidth="10" defaultRowHeight="15" x14ac:dyDescent="0.2"/>
  <cols>
    <col min="2" max="2" width="36.1640625" bestFit="1" customWidth="1"/>
    <col min="5" max="5" width="10.83203125" customWidth="1"/>
  </cols>
  <sheetData>
    <row r="2" spans="2:5" x14ac:dyDescent="0.2">
      <c r="B2" t="s">
        <v>112</v>
      </c>
    </row>
    <row r="3" spans="2:5" x14ac:dyDescent="0.2">
      <c r="B3" t="s">
        <v>115</v>
      </c>
    </row>
    <row r="7" spans="2:5" ht="59" customHeight="1" x14ac:dyDescent="0.2">
      <c r="E7" t="str" cm="1">
        <f t="array" ref="E7">OLLAMA("Break this down into tasks", B3)</f>
        <v>1. Set goals
_x000D_2. Find resources (books, apps, classes)
_x000D_3. Practice speaking and listening
_x000D_4. Learn grammar rules
_x000D_5. Read Spanish texts
_x000D_6. Watch Spanish videos
_x000D_7. Immerse yourself in the language</v>
      </c>
    </row>
    <row r="12" spans="2:5" x14ac:dyDescent="0.2">
      <c r="B12" t="s">
        <v>113</v>
      </c>
      <c r="C12" t="s">
        <v>114</v>
      </c>
    </row>
    <row r="13" spans="2:5" x14ac:dyDescent="0.2">
      <c r="B13" t="str" cm="1">
        <f t="array" ref="B13">OLLAMA("Extract the task" &amp; 1 &amp; " from", $E$7)</f>
        <v>Task 1: Set goals</v>
      </c>
      <c r="C13" t="str" cm="1">
        <f t="array" ref="C13">OLLAMA("Using an Eisenhower box work out if this task should be done now, scheduled, etc. YOU MUST ONLY reply with 'Do Now', 'Schedule', 'Delegate' or 'Skip'", Table3[[#This Row],[Subtask]])</f>
        <v>Schedule</v>
      </c>
    </row>
    <row r="14" spans="2:5" x14ac:dyDescent="0.2">
      <c r="B14" t="str" cm="1">
        <f t="array" ref="B14">OLLAMA("Extract the task" &amp; 2 &amp; " from", $E$7)</f>
        <v>Task 2: Find resources (books, apps, classes)</v>
      </c>
      <c r="C14" t="str" cm="1">
        <f t="array" ref="C14">OLLAMA("Using an Eisenhower box work out if this task should be done now, scheduled, etc. YOU MUST ONLY reply with 'Do Now', 'Schedule', 'Delegate' or 'Skip'", Table3[[#This Row],[Subtask]])</f>
        <v>Schedule</v>
      </c>
    </row>
    <row r="15" spans="2:5" x14ac:dyDescent="0.2">
      <c r="B15" t="str" cm="1">
        <f t="array" ref="B15">OLLAMA("Extract the task" &amp; 3 &amp; " from", $E$7)</f>
        <v>Task 3: Practice speaking and listening</v>
      </c>
      <c r="C15" t="str" cm="1">
        <f t="array" ref="C15">OLLAMA("Using an Eisenhower box work out if this task should be done now, scheduled, etc. YOU MUST ONLY reply with 'Do Now', 'Schedule', 'Delegate' or 'Skip'", Table3[[#This Row],[Subtask]])</f>
        <v>Schedule</v>
      </c>
    </row>
    <row r="16" spans="2:5" x14ac:dyDescent="0.2">
      <c r="B16" t="str" cm="1">
        <f t="array" ref="B16">OLLAMA("Extract the task" &amp; 4 &amp; " from", $E$7)</f>
        <v>Task 4: Learn grammar rules</v>
      </c>
      <c r="C16" t="str" cm="1">
        <f t="array" ref="C16">OLLAMA("Using an Eisenhower box work out if this task should be done now, scheduled, etc. YOU MUST ONLY reply with 'Do Now', 'Schedule', 'Delegate' or 'Skip'", Table3[[#This Row],[Subtask]])</f>
        <v>Schedule</v>
      </c>
    </row>
    <row r="17" spans="2:3" x14ac:dyDescent="0.2">
      <c r="B17" t="str" cm="1">
        <f t="array" ref="B17">OLLAMA("Extract the task" &amp; 5 &amp; " from", $E$7)</f>
        <v>Read Spanish texts</v>
      </c>
      <c r="C17" t="str" cm="1">
        <f t="array" ref="C17">OLLAMA("Using an Eisenhower box work out if this task should be done now, scheduled, etc. YOU MUST ONLY reply with 'Do Now', 'Schedule', 'Delegate' or 'Skip'", Table3[[#This Row],[Subtask]])</f>
        <v>Schedule</v>
      </c>
    </row>
    <row r="18" spans="2:3" x14ac:dyDescent="0.2">
      <c r="B18" t="str" cm="1">
        <f t="array" ref="B18">OLLAMA("Extract the task" &amp; 6 &amp; " from", $E$7)</f>
        <v>Watch Spanish videos</v>
      </c>
      <c r="C18" t="str" cm="1">
        <f t="array" ref="C18">OLLAMA("Using an Eisenhower box work out if this task should be done now, scheduled, etc. YOU MUST ONLY reply with 'Do Now', 'Schedule', 'Delegate' or 'Skip'", Table3[[#This Row],[Subtask]])</f>
        <v>Schedule</v>
      </c>
    </row>
    <row r="19" spans="2:3" x14ac:dyDescent="0.2">
      <c r="B19" t="str" cm="1">
        <f t="array" ref="B19">OLLAMA("Extract the task" &amp; 7 &amp; " from", $E$7)</f>
        <v>Immerse yourself in the language</v>
      </c>
      <c r="C19" t="str" cm="1">
        <f t="array" ref="C19">OLLAMA("Using an Eisenhower box work out if this task should be done now, scheduled, etc. YOU MUST ONLY reply with 'Do Now', 'Schedule', 'Delegate' or 'Skip'", Table3[[#This Row],[Subtask]])</f>
        <v>Schedule</v>
      </c>
    </row>
    <row r="20" spans="2:3" x14ac:dyDescent="0.2">
      <c r="B20" t="str" cm="1">
        <f t="array" ref="B20">OLLAMA("Extract the task" &amp; 8 &amp; " from", $E$7)</f>
        <v>Task 8:</v>
      </c>
      <c r="C20" t="str" cm="1">
        <f t="array" ref="C20">OLLAMA("Using an Eisenhower box work out if this task should be done now, scheduled, etc. YOU MUST ONLY reply with 'Do Now', 'Schedule', 'Delegate' or 'Skip'", Table3[[#This Row],[Subtask]])</f>
        <v>Schedule</v>
      </c>
    </row>
    <row r="21" spans="2:3" x14ac:dyDescent="0.2">
      <c r="B21" t="str" cm="1">
        <f t="array" ref="B21">OLLAMA("Extract the task" &amp; 9 &amp; " from", $E$7)</f>
        <v>Task 9:</v>
      </c>
      <c r="C21" t="str" cm="1">
        <f t="array" ref="C21">OLLAMA("Using an Eisenhower box work out if this task should be done now, scheduled, etc. YOU MUST ONLY reply with 'Do Now', 'Schedule', 'Delegate' or 'Skip'", Table3[[#This Row],[Subtask]])</f>
        <v>Schedule</v>
      </c>
    </row>
    <row r="22" spans="2:3" x14ac:dyDescent="0.2">
      <c r="B22" t="str" cm="1">
        <f t="array" ref="B22">OLLAMA("Extract the task" &amp; 10 &amp; " from", $E$7)</f>
        <v>Task 10:</v>
      </c>
      <c r="C22" t="str" cm="1">
        <f t="array" ref="C22">OLLAMA("Using an Eisenhower box work out if this task should be done now, scheduled, etc. YOU MUST ONLY reply with 'Do Now', 'Schedule', 'Delegate' or 'Skip'", Table3[[#This Row],[Subtask]])</f>
        <v>Schedule</v>
      </c>
    </row>
    <row r="23" spans="2:3" x14ac:dyDescent="0.2">
      <c r="B23" t="str" cm="1">
        <f t="array" ref="B23">OLLAMA("Extract the task" &amp; 11 &amp; " from", $E$7)</f>
        <v>Task 11:</v>
      </c>
      <c r="C23" t="str" cm="1">
        <f t="array" ref="C23">OLLAMA("Using an Eisenhower box work out if this task should be done now, scheduled, etc. YOU MUST ONLY reply with 'Do Now', 'Schedule', 'Delegate' or 'Skip'", Table3[[#This Row],[Subtask]])</f>
        <v>Schedule</v>
      </c>
    </row>
    <row r="24" spans="2:3" x14ac:dyDescent="0.2">
      <c r="B24" t="str" cm="1">
        <f t="array" ref="B24">OLLAMA("Extract the task" &amp; 12 &amp; " from", $E$7)</f>
        <v>Task 12: Not specified</v>
      </c>
      <c r="C24" t="str" cm="1">
        <f t="array" ref="C24">OLLAMA("Using an Eisenhower box work out if this task should be done now, scheduled, etc. YOU MUST ONLY reply with 'Do Now', 'Schedule', 'Delegate' or 'Skip'", Table3[[#This Row],[Subtask]])</f>
        <v>Schedule</v>
      </c>
    </row>
    <row r="25" spans="2:3" x14ac:dyDescent="0.2">
      <c r="B25" t="str" cm="1">
        <f t="array" ref="B25">OLLAMA("Extract the task" &amp; 13 &amp; " from", $E$7)</f>
        <v>Task 13: Not specified</v>
      </c>
      <c r="C25" t="str" cm="1">
        <f t="array" ref="C25">OLLAMA("Using an Eisenhower box work out if this task should be done now, scheduled, etc. YOU MUST ONLY reply with 'Do Now', 'Schedule', 'Delegate' or 'Skip'", Table3[[#This Row],[Subtask]])</f>
        <v>Schedule</v>
      </c>
    </row>
    <row r="26" spans="2:3" x14ac:dyDescent="0.2">
      <c r="B26" t="str" cm="1">
        <f t="array" ref="B26">OLLAMA("Extract the task" &amp; 14 &amp; " from", $E$7)</f>
        <v>Task 14: Not specified</v>
      </c>
      <c r="C26" t="str" cm="1">
        <f t="array" ref="C26">OLLAMA("Using an Eisenhower box work out if this task should be done now, scheduled, etc. YOU MUST ONLY reply with 'Do Now', 'Schedule', 'Delegate' or 'Skip'", Table3[[#This Row],[Subtask]])</f>
        <v>Schedule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6" t="s">
        <v>25</v>
      </c>
    </row>
    <row r="3" spans="1:1" ht="96" x14ac:dyDescent="0.2">
      <c r="A3" s="3" t="s">
        <v>32</v>
      </c>
    </row>
    <row r="5" spans="1:1" ht="20" x14ac:dyDescent="0.2">
      <c r="A5" s="2" t="s">
        <v>0</v>
      </c>
    </row>
    <row r="7" spans="1:1" ht="16" x14ac:dyDescent="0.2">
      <c r="A7" s="1" t="s">
        <v>24</v>
      </c>
    </row>
    <row r="8" spans="1:1" ht="16" x14ac:dyDescent="0.2">
      <c r="A8" s="1" t="s">
        <v>23</v>
      </c>
    </row>
    <row r="9" spans="1:1" ht="16" x14ac:dyDescent="0.2">
      <c r="A9" s="1" t="s">
        <v>22</v>
      </c>
    </row>
    <row r="10" spans="1:1" ht="16" x14ac:dyDescent="0.2">
      <c r="A10" s="1" t="s">
        <v>21</v>
      </c>
    </row>
    <row r="11" spans="1:1" ht="16" x14ac:dyDescent="0.2">
      <c r="A11" s="1" t="s">
        <v>20</v>
      </c>
    </row>
    <row r="12" spans="1:1" ht="16" x14ac:dyDescent="0.2">
      <c r="A12" s="1" t="s">
        <v>19</v>
      </c>
    </row>
    <row r="14" spans="1:1" ht="20" x14ac:dyDescent="0.2">
      <c r="A14" s="2" t="s">
        <v>18</v>
      </c>
    </row>
    <row r="16" spans="1:1" ht="17" x14ac:dyDescent="0.2">
      <c r="A16" s="4" t="s">
        <v>17</v>
      </c>
    </row>
    <row r="17" spans="1:1" ht="16" x14ac:dyDescent="0.2">
      <c r="A17" s="3" t="s">
        <v>16</v>
      </c>
    </row>
    <row r="19" spans="1:1" ht="16" x14ac:dyDescent="0.2">
      <c r="A19" s="1" t="s">
        <v>15</v>
      </c>
    </row>
    <row r="20" spans="1:1" ht="16" x14ac:dyDescent="0.2">
      <c r="A20" s="5" t="s">
        <v>14</v>
      </c>
    </row>
    <row r="21" spans="1:1" ht="16" x14ac:dyDescent="0.2">
      <c r="A21" s="5" t="s">
        <v>13</v>
      </c>
    </row>
    <row r="22" spans="1:1" ht="16" x14ac:dyDescent="0.2">
      <c r="A22" s="5" t="s">
        <v>12</v>
      </c>
    </row>
    <row r="24" spans="1:1" ht="16" x14ac:dyDescent="0.2">
      <c r="A24" s="1" t="s">
        <v>26</v>
      </c>
    </row>
    <row r="25" spans="1:1" ht="16" x14ac:dyDescent="0.2">
      <c r="A25" s="5" t="str">
        <f>OLLAMA("Summarize this in 3 words", A1:A10)</f>
        <v>Excel Ollama Integration</v>
      </c>
    </row>
    <row r="26" spans="1:1" ht="16" x14ac:dyDescent="0.2">
      <c r="A26" s="5" t="str">
        <f>OLLAMA("What is the capital of France?")</f>
        <v>The capital of France is Paris.</v>
      </c>
    </row>
    <row r="27" spans="1:1" ht="409.6" x14ac:dyDescent="0.2">
      <c r="A27" s="5"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5" t="str">
        <f>OLLAMA("Translate to Spanish: Hello", A1, "mistral")</f>
        <v>Is Ollama installed and running mistral? https://ollama.com. Error: 404 - {"error":"model 'mistral' not found"}</v>
      </c>
    </row>
    <row r="30" spans="1:1" ht="17" x14ac:dyDescent="0.2">
      <c r="A30" s="4" t="s">
        <v>11</v>
      </c>
    </row>
    <row r="31" spans="1:1" ht="16" x14ac:dyDescent="0.2">
      <c r="A31" s="3" t="s">
        <v>10</v>
      </c>
    </row>
    <row r="33" spans="1:1" ht="20" x14ac:dyDescent="0.2">
      <c r="A33" s="2" t="s">
        <v>9</v>
      </c>
    </row>
    <row r="35" spans="1:1" ht="16" x14ac:dyDescent="0.2">
      <c r="A35" s="1" t="s">
        <v>8</v>
      </c>
    </row>
    <row r="36" spans="1:1" ht="16" x14ac:dyDescent="0.2">
      <c r="A36" s="1" t="s">
        <v>7</v>
      </c>
    </row>
    <row r="37" spans="1:1" ht="16" x14ac:dyDescent="0.2">
      <c r="A37" s="1" t="s">
        <v>34</v>
      </c>
    </row>
    <row r="39" spans="1:1" ht="20" x14ac:dyDescent="0.2">
      <c r="A39" s="2" t="s">
        <v>6</v>
      </c>
    </row>
    <row r="41" spans="1:1" ht="16" x14ac:dyDescent="0.2">
      <c r="A41" s="1" t="s">
        <v>5</v>
      </c>
    </row>
    <row r="42" spans="1:1" ht="16" x14ac:dyDescent="0.2">
      <c r="A42" s="1" t="s">
        <v>27</v>
      </c>
    </row>
    <row r="43" spans="1:1" ht="32" x14ac:dyDescent="0.2">
      <c r="A43" s="1" t="s">
        <v>28</v>
      </c>
    </row>
    <row r="44" spans="1:1" ht="16" x14ac:dyDescent="0.2">
      <c r="A44" s="1" t="s">
        <v>29</v>
      </c>
    </row>
    <row r="45" spans="1:1" ht="16" x14ac:dyDescent="0.2">
      <c r="A45" s="1" t="s">
        <v>30</v>
      </c>
    </row>
    <row r="46" spans="1:1" ht="16" x14ac:dyDescent="0.2">
      <c r="A46" s="1" t="s">
        <v>31</v>
      </c>
    </row>
    <row r="48" spans="1:1" ht="20" x14ac:dyDescent="0.2">
      <c r="A48" s="2" t="s">
        <v>4</v>
      </c>
    </row>
    <row r="50" spans="1:1" ht="16" x14ac:dyDescent="0.2">
      <c r="A50" s="1" t="s">
        <v>3</v>
      </c>
    </row>
    <row r="51" spans="1:1" ht="32" x14ac:dyDescent="0.2">
      <c r="A51" s="1" t="s">
        <v>33</v>
      </c>
    </row>
    <row r="52" spans="1:1" ht="16" x14ac:dyDescent="0.2">
      <c r="A52" s="1" t="s">
        <v>2</v>
      </c>
    </row>
    <row r="53" spans="1:1" ht="16" x14ac:dyDescent="0.2">
      <c r="A53" s="1" t="s">
        <v>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User Stories</vt:lpstr>
      <vt:lpstr>Sheet1</vt:lpstr>
      <vt:lpstr>README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2025-11-16T17:03:22Z</dcterms:modified>
</cp:coreProperties>
</file>