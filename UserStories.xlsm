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1012" codeName="{E5D1E7B1-6628-F0F0-D09B-76B25B5F3CD3}"/>
  <workbookPr codeName="ThisWorkbook" hidePivotFieldList="1" defaultThemeVersion="124226"/>
  <mc:AlternateContent xmlns:mc="http://schemas.openxmlformats.org/markup-compatibility/2006">
    <mc:Choice Requires="x15">
      <x15ac:absPath xmlns:x15ac="http://schemas.microsoft.com/office/spreadsheetml/2010/11/ac" url="/Users/davidg/Desktop/OllamaExcel/"/>
    </mc:Choice>
  </mc:AlternateContent>
  <xr:revisionPtr revIDLastSave="0" documentId="13_ncr:1_{5AE7D616-DF5D-7443-B06D-B58028E749AB}" xr6:coauthVersionLast="47" xr6:coauthVersionMax="47" xr10:uidLastSave="{00000000-0000-0000-0000-000000000000}"/>
  <bookViews>
    <workbookView xWindow="0" yWindow="500" windowWidth="38400" windowHeight="21100" xr2:uid="{00000000-000D-0000-FFFF-FFFF00000000}"/>
  </bookViews>
  <sheets>
    <sheet name="User Stories" sheetId="8" r:id="rId1"/>
    <sheet name="README" sheetId="12" r:id="rId2"/>
  </sheets>
  <functionGroups builtInGroupCount="19"/>
  <definedNames>
    <definedName name="_xleta.AND" hidden="1" xlm="1">#NAME?</definedName>
    <definedName name="_xleta.IF" hidden="1" xlm="1">#NAME?</definedName>
    <definedName name="_xleta.N" hidden="1" xlm="1">#NAME?</definedName>
    <definedName name="_xleta.NOT" hidden="1" xlm="1">#NAME?</definedName>
    <definedName name="_xleta.RATE" hidden="1" xlm="1">#NAME?</definedName>
    <definedName name="_xleta.T" hidden="1" xlm="1">#NAME?</definedName>
    <definedName name="_xleta.VALUE" hidden="1" xlm="1">#NAME?</definedName>
    <definedName name="_xlpm.category" hidden="1" xlm="1">#NAME?</definedName>
    <definedName name="_xlpm.Criterion" hidden="1" xlm="1">#NAME?</definedName>
    <definedName name="_xlpm.detractors" hidden="1" xlm="1">#NAME?</definedName>
    <definedName name="_xlpm.Model" hidden="1" xlm="1">#NAME?</definedName>
    <definedName name="_xlpm.promoters" hidden="1" xlm="1">#NAME?</definedName>
    <definedName name="_xlpm.reviewCell" hidden="1" xlm="1">#NAME?</definedName>
    <definedName name="_xlpm.scores" hidden="1" xlm="1">#NAME?</definedName>
    <definedName name="_xlpm.Story" hidden="1" xlm="1">#NAME?</definedName>
    <definedName name="_xlpm.total" hidden="1" xlm="1">#NAME?</definedName>
    <definedName name="_xlpm.values" hidden="1" xlm="1">#NAME?</definedName>
    <definedName name="INVEST">_xlfn.LAMBDA(_xlpm.Criterion,_xlpm.Story,_xlpm.Model, OLLAMA("Task: Evaluate a user story against the INVEST criteria, focusing only on the """ &amp; _xlpm.Criterion &amp; """ requirement. Instructions: Given a user story provided, determine whether the story meets the " &amp; _xlpm.Criterion &amp; _xlfn._LONGTEXT(" criterion—that is, it includes behavior or outcomes that can be verified through acceptance criteria, tests, or observable results. Output Rules: If the story meets the criterion → return TRUE with no additional text. If the story does not meet the crite","rion → return FALSE followed by a brief explanation of why (e.g., vague outcome, no measurable behavior, subjective wording, missing acceptance criteria, etc.) Input: ") &amp; _xlpm.Story,_xlpm.Model))</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26" i="12" l="1"/>
  <c r="A28" i="12"/>
  <c r="A25" i="12"/>
  <c r="A27" i="12"/>
  <c r="J3" i="8" a="1"/>
  <c r="J10" i="8" a="1"/>
  <c r="J22" i="8" a="1"/>
  <c r="J4" i="8" a="1"/>
  <c r="J16" i="8" a="1"/>
  <c r="J17" i="8" a="1"/>
  <c r="J5" i="8" a="1"/>
  <c r="J11" i="8" a="1"/>
  <c r="J12" i="8" a="1"/>
  <c r="J6" i="8" a="1"/>
  <c r="J18" i="8" a="1"/>
  <c r="J13" i="8" a="1"/>
  <c r="J19" i="8" a="1"/>
  <c r="J21" i="8" a="1"/>
  <c r="J7" i="8" a="1"/>
  <c r="J20" i="8" a="1"/>
  <c r="J14" i="8" a="1"/>
  <c r="J15" i="8" a="1"/>
  <c r="J8" i="8" a="1"/>
  <c r="J9" i="8" a="1"/>
  <c r="I3" i="8" a="1"/>
  <c r="I10" i="8" a="1"/>
  <c r="I20" i="8" a="1"/>
  <c r="I4" i="8" a="1"/>
  <c r="I16" i="8" a="1"/>
  <c r="I22" i="8" a="1"/>
  <c r="I13" i="8" a="1"/>
  <c r="I11" i="8" a="1"/>
  <c r="I17" i="8" a="1"/>
  <c r="I18" i="8" a="1"/>
  <c r="I5" i="8" a="1"/>
  <c r="I12" i="8" a="1"/>
  <c r="I6" i="8" a="1"/>
  <c r="I21" i="8" a="1"/>
  <c r="I19" i="8" a="1"/>
  <c r="I7" i="8" a="1"/>
  <c r="I14" i="8" a="1"/>
  <c r="I8" i="8" a="1"/>
  <c r="I9" i="8" a="1"/>
  <c r="I15" i="8" a="1"/>
  <c r="H3" i="8" a="1"/>
  <c r="H15" i="8" a="1"/>
  <c r="H10" i="8" a="1"/>
  <c r="H4" i="8" a="1"/>
  <c r="H22" i="8" a="1"/>
  <c r="H11" i="8" a="1"/>
  <c r="H17" i="8" a="1"/>
  <c r="H5" i="8" a="1"/>
  <c r="H18" i="8" a="1"/>
  <c r="H12" i="8" a="1"/>
  <c r="H6" i="8" a="1"/>
  <c r="H13" i="8" a="1"/>
  <c r="H7" i="8" a="1"/>
  <c r="H20" i="8" a="1"/>
  <c r="H8" i="8" a="1"/>
  <c r="H14" i="8" a="1"/>
  <c r="H16" i="8" a="1"/>
  <c r="H9" i="8" a="1"/>
  <c r="H21" i="8" a="1"/>
  <c r="H19" i="8" a="1"/>
  <c r="G3" i="8" a="1"/>
  <c r="G21" i="8" a="1"/>
  <c r="G10" i="8" a="1"/>
  <c r="G4" i="8" a="1"/>
  <c r="G5" i="8" a="1"/>
  <c r="G17" i="8" a="1"/>
  <c r="G11" i="8" a="1"/>
  <c r="G13" i="8" a="1"/>
  <c r="G16" i="8" a="1"/>
  <c r="G12" i="8" a="1"/>
  <c r="G19" i="8" a="1"/>
  <c r="G6" i="8" a="1"/>
  <c r="G18" i="8" a="1"/>
  <c r="G20" i="8" a="1"/>
  <c r="G7" i="8" a="1"/>
  <c r="G8" i="8" a="1"/>
  <c r="G14" i="8" a="1"/>
  <c r="G9" i="8" a="1"/>
  <c r="G15" i="8" a="1"/>
  <c r="G22" i="8" a="1"/>
  <c r="F3" i="8" a="1"/>
  <c r="E3" i="8" a="1"/>
  <c r="E19" i="8" a="1"/>
  <c r="E10" i="8" a="1"/>
  <c r="E4" i="8" a="1"/>
  <c r="E16" i="8" a="1"/>
  <c r="E5" i="8" a="1"/>
  <c r="E6" i="8" a="1"/>
  <c r="E7" i="8" a="1"/>
  <c r="E13" i="8" a="1"/>
  <c r="E14" i="8" a="1"/>
  <c r="E20" i="8" a="1"/>
  <c r="E8" i="8" a="1"/>
  <c r="E9" i="8" a="1"/>
  <c r="E15" i="8" a="1"/>
  <c r="E21" i="8" a="1"/>
  <c r="E22" i="8" a="1"/>
  <c r="E11" i="8" a="1"/>
  <c r="E17" i="8" a="1"/>
  <c r="E12" i="8" a="1"/>
  <c r="E18" i="8" a="1"/>
  <c r="F4" i="8" a="1"/>
  <c r="F10" i="8" a="1"/>
  <c r="F17" i="8" a="1"/>
  <c r="F16" i="8" a="1"/>
  <c r="F22" i="8" a="1"/>
  <c r="F11" i="8" a="1"/>
  <c r="F12" i="8" a="1"/>
  <c r="F20" i="8" a="1"/>
  <c r="F5" i="8" a="1"/>
  <c r="F18" i="8" a="1"/>
  <c r="F14" i="8" a="1"/>
  <c r="F6" i="8" a="1"/>
  <c r="F13" i="8" a="1"/>
  <c r="F19" i="8" a="1"/>
  <c r="F7" i="8" a="1"/>
  <c r="F8" i="8" a="1"/>
  <c r="F9" i="8" a="1"/>
  <c r="F15" i="8" a="1"/>
  <c r="F21" i="8" a="1"/>
  <c r="J9" i="8" l="1"/>
  <c r="J8" i="8"/>
  <c r="J15" i="8"/>
  <c r="J14" i="8"/>
  <c r="J20" i="8"/>
  <c r="J7" i="8"/>
  <c r="J21" i="8"/>
  <c r="J19" i="8"/>
  <c r="J13" i="8"/>
  <c r="J18" i="8"/>
  <c r="J6" i="8"/>
  <c r="J12" i="8"/>
  <c r="J11" i="8"/>
  <c r="J5" i="8"/>
  <c r="J17" i="8"/>
  <c r="J16" i="8"/>
  <c r="J4" i="8"/>
  <c r="J22" i="8"/>
  <c r="J10" i="8"/>
  <c r="J3" i="8"/>
  <c r="I15" i="8"/>
  <c r="I9" i="8"/>
  <c r="I8" i="8"/>
  <c r="I14" i="8"/>
  <c r="I7" i="8"/>
  <c r="I19" i="8"/>
  <c r="I21" i="8"/>
  <c r="I6" i="8"/>
  <c r="I12" i="8"/>
  <c r="I5" i="8"/>
  <c r="I18" i="8"/>
  <c r="I17" i="8"/>
  <c r="I11" i="8"/>
  <c r="I13" i="8"/>
  <c r="I22" i="8"/>
  <c r="I16" i="8"/>
  <c r="I4" i="8"/>
  <c r="I20" i="8"/>
  <c r="I10" i="8"/>
  <c r="I3" i="8"/>
  <c r="H19" i="8"/>
  <c r="H21" i="8"/>
  <c r="H9" i="8"/>
  <c r="H16" i="8"/>
  <c r="H14" i="8"/>
  <c r="H8" i="8"/>
  <c r="H20" i="8"/>
  <c r="H7" i="8"/>
  <c r="H13" i="8"/>
  <c r="H6" i="8"/>
  <c r="H12" i="8"/>
  <c r="H18" i="8"/>
  <c r="H5" i="8"/>
  <c r="H17" i="8"/>
  <c r="H11" i="8"/>
  <c r="H22" i="8"/>
  <c r="H4" i="8"/>
  <c r="H10" i="8"/>
  <c r="H15" i="8"/>
  <c r="H3" i="8"/>
  <c r="G22" i="8"/>
  <c r="G15" i="8"/>
  <c r="G9" i="8"/>
  <c r="G14" i="8"/>
  <c r="G8" i="8"/>
  <c r="G7" i="8"/>
  <c r="G20" i="8"/>
  <c r="G18" i="8"/>
  <c r="G6" i="8"/>
  <c r="G19" i="8"/>
  <c r="G12" i="8"/>
  <c r="G16" i="8"/>
  <c r="G13" i="8"/>
  <c r="G11" i="8"/>
  <c r="G17" i="8"/>
  <c r="G5" i="8"/>
  <c r="G4" i="8"/>
  <c r="G10" i="8"/>
  <c r="G21" i="8"/>
  <c r="G3" i="8"/>
  <c r="F3" i="8"/>
  <c r="E18" i="8"/>
  <c r="E12" i="8"/>
  <c r="E17" i="8"/>
  <c r="E11" i="8"/>
  <c r="E22" i="8"/>
  <c r="E21" i="8"/>
  <c r="E15" i="8"/>
  <c r="E9" i="8"/>
  <c r="E8" i="8"/>
  <c r="E20" i="8"/>
  <c r="E14" i="8"/>
  <c r="E13" i="8"/>
  <c r="E7" i="8"/>
  <c r="E6" i="8"/>
  <c r="E5" i="8"/>
  <c r="E16" i="8"/>
  <c r="E4" i="8"/>
  <c r="E10" i="8"/>
  <c r="E19" i="8"/>
  <c r="E3" i="8"/>
  <c r="F4" i="8"/>
  <c r="F21" i="8"/>
  <c r="F15" i="8"/>
  <c r="F9" i="8"/>
  <c r="F8" i="8"/>
  <c r="F7" i="8"/>
  <c r="F19" i="8"/>
  <c r="F13" i="8"/>
  <c r="F6" i="8"/>
  <c r="F14" i="8"/>
  <c r="F18" i="8"/>
  <c r="F5" i="8"/>
  <c r="F20" i="8"/>
  <c r="F12" i="8"/>
  <c r="F11" i="8"/>
  <c r="F22" i="8"/>
  <c r="F16" i="8"/>
  <c r="F17" i="8"/>
  <c r="F10" i="8"/>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<sst xmlns="http://schemas.openxmlformats.org/spreadsheetml/2006/main" count="125" uniqueCount="112">
  <si>
    <t>Features</t>
  </si>
  <si>
    <t>• Converts Excel ranges to CSV format for model processing</t>
  </si>
  <si>
    <t>• Only caches successful responses (errors trigger fresh API calls)</t>
  </si>
  <si>
    <t>• Makes HTTP POST requests to Ollama's local API (http://localhost:11434)</t>
  </si>
  <si>
    <t>How It Works</t>
  </si>
  <si>
    <t>1. Install Ollama from ollama.com</t>
  </si>
  <si>
    <t>Installation</t>
  </si>
  <si>
    <t>• Ollama installed and running locally</t>
  </si>
  <si>
    <t>• Microsoft Excel (Mac or Windows)</t>
  </si>
  <si>
    <t>Requirements</t>
  </si>
  <si>
    <t>VBA macro to clear the local response cache.</t>
  </si>
  <si>
    <t>ClearOllamaCache()</t>
  </si>
  <si>
    <t>• model (optional): Model name (default: "llama3")</t>
  </si>
  <si>
    <t>• range (optional): Excel range to include in the analysis</t>
  </si>
  <si>
    <t>• prompt (required): Your question or instruction</t>
  </si>
  <si>
    <t>Parameters:</t>
  </si>
  <si>
    <t>Main function to interact with Ollama models.</t>
  </si>
  <si>
    <t>OLLAMA(prompt, [range], [model])</t>
  </si>
  <si>
    <t>Functions</t>
  </si>
  <si>
    <t>• Error Handling: Graceful error handling with informative messages</t>
  </si>
  <si>
    <t>• Mac &amp; Windows Compatible: Works on both platforms with automatic path detection</t>
  </si>
  <si>
    <t>• Flexible Model Selection: Use any locally installed Ollama model (defaults to llama3)</t>
  </si>
  <si>
    <t>• Range Analysis: Pass Excel ranges directly to the model for data analysis</t>
  </si>
  <si>
    <t>• Intelligent Caching: Responses are cached locally to avoid redundant API calls and improve performance</t>
  </si>
  <si>
    <t>• Simple LLM Integration: Call Ollama models directly from Excel formulas</t>
  </si>
  <si>
    <t>Excel Ollama Integration</t>
  </si>
  <si>
    <t>Examples (if these look like errors, you probably haven't got Ollama running locally with the llama3 model):</t>
  </si>
  <si>
    <t>2. Pull your desired model (llama3 is the one this workbook uses by default): ollama pull llama3</t>
  </si>
  <si>
    <t>3. Install VBA-Web library in your Excel project (https://github.com/VBA-tools/VBA-Web) and import Module1 from this workbook into your workbook, OR…</t>
  </si>
  <si>
    <t>4. …just copy and edit this workbook to do what you want</t>
  </si>
  <si>
    <t>5. If you access Ollama from a different machine, edit the Client.BaseUrl in the OLLAMA function in Module1</t>
  </si>
  <si>
    <t>6. Start using the functions in your spreadsheets!</t>
  </si>
  <si>
    <t>An Excel Workbook that connects to a local Ollama installation, enabling you to use AI large language models directly in your spreadsheets. Using Ollama means everything can be done locally with no risk of running over Copilot usage limits, or incurring API charges.
The first time you edit the reviews in the tables, it will be a little slow because Excel will run all of the cell-prompts for the first time. The results will be cached after that.</t>
  </si>
  <si>
    <t>• Caches responses in ~/Documents/OllamaCache.txt to avoid repeat calls (it's in "~/Library/Continers/Microsoft Excel/Data/Documents/OllamaCache.txt" on the Mac)</t>
  </si>
  <si>
    <t>• VBA-Web library for REST API calls (already included in the demo workbook)</t>
  </si>
  <si>
    <t>Story id</t>
  </si>
  <si>
    <t>Group</t>
  </si>
  <si>
    <t>Story</t>
  </si>
  <si>
    <t>Independent</t>
  </si>
  <si>
    <t>Valuable</t>
  </si>
  <si>
    <t>Estimable</t>
  </si>
  <si>
    <t>Negotiable</t>
  </si>
  <si>
    <t>Short</t>
  </si>
  <si>
    <t>Testable</t>
  </si>
  <si>
    <t>Account &amp; Billing Setup</t>
  </si>
  <si>
    <t>Title</t>
  </si>
  <si>
    <t>Subscription Signup</t>
  </si>
  <si>
    <t>SUB-002</t>
  </si>
  <si>
    <t>Billing Details</t>
  </si>
  <si>
    <t>SUB-003</t>
  </si>
  <si>
    <t>View Current Plan</t>
  </si>
  <si>
    <t>As an account owner, I want to view my active subscription plan and billing tier so that I understand what features I have access to.</t>
  </si>
  <si>
    <t>SUB-004</t>
  </si>
  <si>
    <t>Plan Management</t>
  </si>
  <si>
    <t>Upgrade Plan</t>
  </si>
  <si>
    <t>As an account owner, I want to upgrade my subscription tier so that I can access additional features or higher usage limits.</t>
  </si>
  <si>
    <t>SUB-005</t>
  </si>
  <si>
    <t>Downgrade Plan</t>
  </si>
  <si>
    <t>SUB-006</t>
  </si>
  <si>
    <t>Cancel Subscription</t>
  </si>
  <si>
    <t>As an account owner, I want to cancel my subscription so that I’m no longer billed.</t>
  </si>
  <si>
    <t>SUB-007</t>
  </si>
  <si>
    <t>Proration</t>
  </si>
  <si>
    <t>As an account owner, I want prorated charges/credits when changing plans so that billing is fair and transparent.</t>
  </si>
  <si>
    <t>SUB-008</t>
  </si>
  <si>
    <t>Billing &amp; Invoicing</t>
  </si>
  <si>
    <t>View Invoice History</t>
  </si>
  <si>
    <t>As an account owner, I want to view past invoices so that I can track billing and submit expenses.</t>
  </si>
  <si>
    <t>SUB-009</t>
  </si>
  <si>
    <t>Download Invoices</t>
  </si>
  <si>
    <t>SUB-010</t>
  </si>
  <si>
    <t>Billing Notifications</t>
  </si>
  <si>
    <t>As an account owner, I want to receive email notifications about upcoming payments or failed charges so that I can avoid service interruptions.</t>
  </si>
  <si>
    <t>SUB-011</t>
  </si>
  <si>
    <t>Usage / Limits</t>
  </si>
  <si>
    <t>Seat Management</t>
  </si>
  <si>
    <t>As an account owner, I want to see how many seats I’ve used and how many are remaining so that I can manage my team efficiently.</t>
  </si>
  <si>
    <t>SUB-012</t>
  </si>
  <si>
    <t>Over-Limit Alerts</t>
  </si>
  <si>
    <t>As an admin, I want to receive alerts when the organization approaches usage limits so that I can plan upgrades proactively.</t>
  </si>
  <si>
    <t>SUB-013</t>
  </si>
  <si>
    <t>Feature Access Enforcement</t>
  </si>
  <si>
    <t>As a user, I want certain features gated based on the subscription plan so that access aligns with our organization’s subscription.</t>
  </si>
  <si>
    <t>SUB-014</t>
  </si>
  <si>
    <t>Roles &amp; Access</t>
  </si>
  <si>
    <t>Billing Permissions</t>
  </si>
  <si>
    <t>As an admin, I want to designate who can update billing information so that financial access is controlled.</t>
  </si>
  <si>
    <t>SUB-015</t>
  </si>
  <si>
    <t>Subscription Viewer Access</t>
  </si>
  <si>
    <t>As a manager, I want read-only access to subscription details so that I can understand plan limits without modifying them.</t>
  </si>
  <si>
    <t>SUB-016</t>
  </si>
  <si>
    <t>Renewals &amp; Lifecycle</t>
  </si>
  <si>
    <t>Auto-Renew Toggle</t>
  </si>
  <si>
    <t>As an account owner, I want to enable or disable auto-renew so that I can control ongoing charges.</t>
  </si>
  <si>
    <t>SUB-017</t>
  </si>
  <si>
    <t>Trial Period</t>
  </si>
  <si>
    <t>As a new user, I want a free trial so that I can evaluate the system before committing.</t>
  </si>
  <si>
    <t>SUB-018</t>
  </si>
  <si>
    <t>Trial Expiration Reminder</t>
  </si>
  <si>
    <t>As a trial user, I want to receive a reminder before my trial ends so that I can decide whether to subscribe.</t>
  </si>
  <si>
    <t>SUB-019</t>
  </si>
  <si>
    <t>Compliance</t>
  </si>
  <si>
    <t>Tax Calculation</t>
  </si>
  <si>
    <t>As an account owner, I want taxes automatically calculated based on my location so that I stay compliant.</t>
  </si>
  <si>
    <t>SUB-020</t>
  </si>
  <si>
    <t>Business Information on Invoices</t>
  </si>
  <si>
    <t>As a finance officer, I want to enter my company’s tax and legal information so that invoices meet compliance requirements</t>
  </si>
  <si>
    <t>As an account owner, I want to downgrade my subscription tier, so that I only pay for the level of service I need.</t>
  </si>
  <si>
    <t>As an account owner, I want to enter and save my payment details, so that my subscription can be billed automatically.</t>
  </si>
  <si>
    <t>As an account owner, I want to download invoices in PDF format, so that I can keep financial records.</t>
  </si>
  <si>
    <t>As an account owner, I want to choose a subscription plan, so that I can activate the system for my organization.</t>
  </si>
  <si>
    <t>llama3.1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</si>
</sst>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name val="Calibri"/>
      <family val="2"/>
    </font>
    <font>
      <b/>
      <sz val="14"/>
      <name val="Calibri"/>
      <family val="2"/>
    </font>
    <font>
      <b/>
      <sz val="12"/>
      <name val="Calibri"/>
      <family val="2"/>
    </font>
    <font>
      <b/>
      <sz val="18"/>
      <name val="Calibri"/>
      <family val="2"/>
    </font>
  </fonts>
  <fills count="4">
    <fill>
      <patternFill patternType="none"/>
    </fill>
    <fill>
      <patternFill patternType="gray125"/>
    </fill>
    <fill>
      <patternFill patternType="solid">
        <fgColor rgb="FFD9E1F2"/>
        <bgColor rgb="FFD9E1F2"/>
      </patternFill>
    </fill>
    <fill>
      <patternFill patternType="solid">
        <fgColor theme="8" tint="0.39994506668294322"/>
        <bgColor rgb="FF4472C4"/>
      </patternFill>
    </fill>
  </fills>
  <borders count="1">
    <border>
      <left/>
      <right/>
      <top/>
      <bottom/>
      <diagonal/>
    </border>
  </borders>
  <cellStyleXfs count="1">
    <xf numFmtId="0" fontId="0" fillId="0" borderId="0"/>
  </cellStyleXfs>
  <cellXfs count="9">
    <xf numFmtId="0" fontId="0" fillId="0" borderId="0" xfId="0"/>
    <xf numFmtId="0" fontId="1" fillId="0" borderId="0" xfId="0" applyFont="1" applyAlignment="1">
      <alignment vertical="top" wrapText="1" indent="1"/>
    </xf>
    <xf numFmtId="0" fontId="2" fillId="2" borderId="0" xfId="0" applyFont="1" applyFill="1" applyAlignment="1">
      <alignment vertical="top" wrapText="1"/>
    </xf>
    <xf numFmtId="0" fontId="1" fillId="0" borderId="0" xfId="0" applyFont="1" applyAlignment="1">
      <alignment vertical="top" wrapText="1"/>
    </xf>
    <xf numFmtId="0" fontId="3" fillId="0" borderId="0" xfId="0" applyFont="1" applyAlignment="1">
      <alignment vertical="top" wrapText="1"/>
    </xf>
    <xf numFmtId="0" fontId="1" fillId="0" borderId="0" xfId="0" applyFont="1" applyAlignment="1">
      <alignment vertical="top" wrapText="1" indent="2"/>
    </xf>
    <xf numFmtId="0" fontId="4" fillId="3" borderId="0" xfId="0" applyFont="1" applyFill="1" applyAlignment="1">
      <alignment vertical="top" wrapText="1"/>
    </xf>
    <xf numFmtId="0" fontId="0" fillId="0" borderId="0" xfId="0" applyAlignment="1">
      <alignment vertical="top"/>
    </xf>
    <xf numFmtId="0" fontId="0" fillId="0" borderId="0" xfId="0" applyAlignment="1">
      <alignment vertical="top" wrapText="1"/>
    </xf>
  </cellXfs>
  <cellStyles count="1">
    <cellStyle name="Normal" xfId="0" builtinId="0"/>
  </cellStyles>
  <dxfs count="12">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numFmt numFmtId="0" formatCode="General"/>
      <alignment horizontal="general" vertical="top" textRotation="0" wrapText="1" indent="0" justifyLastLine="0" shrinkToFit="0" readingOrder="0"/>
    </dxf>
    <dxf>
      <alignment horizontal="general" vertical="top" textRotation="0" wrapText="1"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alignment horizontal="general" vertical="top" textRotation="0" wrapText="0" indent="0" justifyLastLine="0" shrinkToFit="0" readingOrder="0"/>
    </dxf>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microsoft.com/office/2006/relationships/vbaProject" Target="vbaProject.bin"/><Relationship Id="rId3" Type="http://schemas.openxmlformats.org/officeDocument/2006/relationships/theme" Target="theme/theme1.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eetMetadata" Target="metadata.xml"/><Relationship Id="rId5" Type="http://schemas.openxmlformats.org/officeDocument/2006/relationships/sharedStrings" Target="sharedStrings.xml"/><Relationship Id="rId4" Type="http://schemas.openxmlformats.org/officeDocument/2006/relationships/styles" Target="styles.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F15E1204-78D3-7049-A150-8F75269421C0}" name="Table1" displayName="Table1" ref="A2:J22" totalsRowShown="0" dataDxfId="10">
  <autoFilter ref="A2:J22" xr:uid="{F15E1204-78D3-7049-A150-8F75269421C0}"/>
  <tableColumns count="10">
    <tableColumn id="1" xr3:uid="{C992B11D-50FD-CD46-A070-0BE969E284F5}" name="Story id" dataDxfId="9"/>
    <tableColumn id="2" xr3:uid="{A2FAF9F2-2555-2A44-A301-E914EBC0DB76}" name="Group" dataDxfId="8"/>
    <tableColumn id="3" xr3:uid="{45678054-F3AB-6D42-AB5A-D12E698412C0}" name="Title" dataDxfId="7"/>
    <tableColumn id="4" xr3:uid="{F07557D0-9BBB-5842-9B13-EFBD42056AE8}" name="Story" dataDxfId="6"/>
    <tableColumn id="5" xr3:uid="{7B1AC909-8D50-7245-AB54-5E8A0757078A}" name="Independent" dataDxfId="4">
      <calculatedColumnFormula array="1">INVEST("INDEPENDENT", Table1[[#This Row],[Story]], $A$1)</calculatedColumnFormula>
    </tableColumn>
    <tableColumn id="6" xr3:uid="{7E4DFA06-6291-6746-BC70-F563E0154539}" name="Negotiable" dataDxfId="5">
      <calculatedColumnFormula array="1">INVEST("NEGOTIABLE", Table1[[#This Row],[Story]], A1)</calculatedColumnFormula>
    </tableColumn>
    <tableColumn id="7" xr3:uid="{CE8952E6-964F-1546-810A-D8D83382D258}" name="Valuable" dataDxfId="3">
      <calculatedColumnFormula array="1">INVEST("VALUABLE", Table1[[#This Row],[Story]], $A$1)</calculatedColumnFormula>
    </tableColumn>
    <tableColumn id="8" xr3:uid="{92F02BF5-0BAB-0048-AE6D-7DC6FCFF4551}" name="Estimable" dataDxfId="2">
      <calculatedColumnFormula array="1">INVEST("ESTIMABLE", Table1[[#This Row],[Story]], $A$1)</calculatedColumnFormula>
    </tableColumn>
    <tableColumn id="9" xr3:uid="{A8BE837F-B536-384E-A242-BDCBEE6D80F7}" name="Short" dataDxfId="1">
      <calculatedColumnFormula array="1">INVEST("SHORT", Table1[[#This Row],[Story]], $A$1)</calculatedColumnFormula>
    </tableColumn>
    <tableColumn id="10" xr3:uid="{543583E3-FD91-0949-A6A5-AC606A581448}" name="Testable" dataDxfId="0">
      <calculatedColumnFormula array="1">INVEST("TESTABLE", Table1[[#This Row],[Story]], $A$1)</calculatedColumnFormula>
    </tableColumn>
  </tableColumns>
  <tableStyleInfo name="TableStyleMedium2"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9F1F7D7-2A86-BF40-B0A4-F30A0F23B346}">
  <sheetPr codeName="Sheet1"/>
  <dimension ref="A1:J22"/>
  <sheetViews>
    <sheetView tabSelected="1" zoomScale="150" zoomScaleNormal="150" workbookViewId="0">
      <selection activeCell="J4" sqref="J4"/>
    </sheetView>
  </sheetViews>
  <sheetFormatPr baseColWidth="10" defaultRowHeight="15" x14ac:dyDescent="0.2"/>
  <cols>
    <col min="1" max="1" width="8.33203125" customWidth="1"/>
    <col min="2" max="2" width="19.33203125" bestFit="1" customWidth="1"/>
    <col min="3" max="3" width="16.5" bestFit="1" customWidth="1"/>
    <col min="4" max="4" width="37.6640625" customWidth="1"/>
    <col min="5" max="5" width="20.33203125" customWidth="1"/>
    <col min="6" max="6" width="17.1640625" customWidth="1"/>
    <col min="7" max="7" width="20.83203125" customWidth="1"/>
    <col min="8" max="8" width="21.83203125" customWidth="1"/>
    <col min="9" max="9" width="19.6640625" customWidth="1"/>
    <col min="10" max="10" width="21.1640625" customWidth="1"/>
  </cols>
  <sheetData>
    <row r="1" spans="1:10" x14ac:dyDescent="0.2">
      <c r="A1" t="s">
        <v>111</v>
      </c>
    </row>
    <row r="2" spans="1:10" x14ac:dyDescent="0.2">
      <c r="A2" t="s">
        <v>35</v>
      </c>
      <c r="B2" t="s">
        <v>36</v>
      </c>
      <c r="C2" t="s">
        <v>45</v>
      </c>
      <c r="D2" t="s">
        <v>37</v>
      </c>
      <c r="E2" t="s">
        <v>38</v>
      </c>
      <c r="F2" t="s">
        <v>41</v>
      </c>
      <c r="G2" t="s">
        <v>39</v>
      </c>
      <c r="H2" t="s">
        <v>40</v>
      </c>
      <c r="I2" t="s">
        <v>42</v>
      </c>
      <c r="J2" t="s">
        <v>43</v>
      </c>
    </row>
    <row r="3" spans="1:10" s="7" customFormat="1" ht="150" customHeight="1" x14ac:dyDescent="0.2">
      <c r="A3" s="7">
        <v>1</v>
      </c>
      <c r="B3" s="7" t="s">
        <v>44</v>
      </c>
      <c r="C3" s="7" t="s">
        <v>46</v>
      </c>
      <c r="D3" s="8" t="s">
        <v>110</v>
      </c>
      <c r="E3" s="8" t="str" cm="1">
        <f t="array" ref="E3">INVEST("INDEPENDENT", Table1[[#This Row],[Story]], $A$1)</f>
        <v>TRUE</v>
      </c>
      <c r="F3" s="8" t="str" cm="1">
        <f t="array" ref="F3">INVEST("NEGOTIABLE", Table1[[#This Row],[Story]], $A$1)</f>
        <v>FALSE
_x000D_The story is too vague and doesn't provide any measurable behavior or outcome that can be verified through acceptance criteria, tests, or observable results.</v>
      </c>
      <c r="G3" s="8" t="str" cm="1">
        <f t="array" ref="G3">INVEST("VALUABLE", Table1[[#This Row],[Story]], $A$1)</f>
        <v>TRUE</v>
      </c>
      <c r="H3" s="8" t="str" cm="1">
        <f t="array" ref="H3">INVEST("ESTIMABLE", Table1[[#This Row],[Story]], $A$1)</f>
        <v>TRUE</v>
      </c>
      <c r="I3" s="8" t="str" cm="1">
        <f t="array" ref="I3">INVEST("SHORT", Table1[[#This Row],[Story]], $A$1)</f>
        <v>TRUE</v>
      </c>
      <c r="J3" s="8" t="str" cm="1">
        <f t="array" ref="J3">INVEST("TESTABLE", Table1[[#This Row],[Story]], $A$1)</f>
        <v>TRUE</v>
      </c>
    </row>
    <row r="4" spans="1:10" ht="155" customHeight="1" x14ac:dyDescent="0.2">
      <c r="A4" s="7" t="s">
        <v>47</v>
      </c>
      <c r="B4" s="7" t="s">
        <v>44</v>
      </c>
      <c r="C4" s="7" t="s">
        <v>48</v>
      </c>
      <c r="D4" s="8" t="s">
        <v>108</v>
      </c>
      <c r="E4" s="8" t="str" cm="1">
        <f t="array" ref="E4">INVEST("INDEPENDENT", Table1[[#This Row],[Story]], $A$1)</f>
        <v>TRUE</v>
      </c>
      <c r="F4" s="8" t="str" cm="1">
        <f t="array" ref="F4">INVEST("NEGOTIABLE", Table1[[#This Row],[Story]], A1)</f>
        <v>TRUE</v>
      </c>
      <c r="G4" s="8" t="str" cm="1">
        <f t="array" ref="G4">INVEST("VALUABLE", Table1[[#This Row],[Story]], $A$1)</f>
        <v>TRUE</v>
      </c>
      <c r="H4" s="8" t="str" cm="1">
        <f t="array" ref="H4">INVEST("ESTIMABLE", Table1[[#This Row],[Story]], $A$1)</f>
        <v>TRUE</v>
      </c>
      <c r="I4" s="8" t="str" cm="1">
        <f t="array" ref="I4">INVEST("SHORT", Table1[[#This Row],[Story]], $A$1)</f>
        <v>TRUE</v>
      </c>
      <c r="J4" s="8" t="str" cm="1">
        <f t="array" ref="J4">INVEST("TESTABLE", Table1[[#This Row],[Story]], $A$1)</f>
        <v>TRUE</v>
      </c>
    </row>
    <row r="5" spans="1:10" ht="48" x14ac:dyDescent="0.2">
      <c r="A5" s="7" t="s">
        <v>49</v>
      </c>
      <c r="B5" s="7" t="s">
        <v>44</v>
      </c>
      <c r="C5" s="7" t="s">
        <v>50</v>
      </c>
      <c r="D5" s="8" t="s">
        <v>51</v>
      </c>
      <c r="E5" s="8" t="str" cm="1">
        <f t="array" ref="E5">INVEST("INDEPENDENT", Table1[[#This Row],[Story]], $A$1)</f>
        <v>TRUE</v>
      </c>
      <c r="F5" s="8" t="str" cm="1">
        <f t="array" ref="F5">INVEST("NEGOTIABLE", Table1[[#This Row],[Story]], A3)</f>
        <v>TRUE</v>
      </c>
      <c r="G5" s="8" t="str" cm="1">
        <f t="array" ref="G5">INVEST("VALUABLE", Table1[[#This Row],[Story]], $A$1)</f>
        <v>TRUE</v>
      </c>
      <c r="H5" s="8" t="str" cm="1">
        <f t="array" ref="H5">INVEST("ESTIMABLE", Table1[[#This Row],[Story]], $A$1)</f>
        <v>TRUE</v>
      </c>
      <c r="I5" s="8" t="str" cm="1">
        <f t="array" ref="I5">INVEST("SHORT", Table1[[#This Row],[Story]], $A$1)</f>
        <v>TRUE</v>
      </c>
      <c r="J5" s="8" t="str" cm="1">
        <f t="array" ref="J5">INVEST("TESTABLE", Table1[[#This Row],[Story]], $A$1)</f>
        <v>TRUE</v>
      </c>
    </row>
    <row r="6" spans="1:10" ht="128" x14ac:dyDescent="0.2">
      <c r="A6" s="7" t="s">
        <v>52</v>
      </c>
      <c r="B6" s="7" t="s">
        <v>53</v>
      </c>
      <c r="C6" s="7" t="s">
        <v>54</v>
      </c>
      <c r="D6" s="8" t="s">
        <v>55</v>
      </c>
      <c r="E6" s="8" t="str" cm="1">
        <f t="array" ref="E6">INVEST("INDEPENDENT", Table1[[#This Row],[Story]], $A$1)</f>
        <v>FALSE
_x000D_The story lacks specific behavior or outcomes that can be verified through acceptance criteria, tests, or observable results. The outcome is vague and subjective (accessing "additional features" or having "higher usage limits").</v>
      </c>
      <c r="F6" s="8" t="str" cm="1">
        <f t="array" ref="F6">INVEST("NEGOTIABLE", Table1[[#This Row],[Story]], A4)</f>
        <v>TRUE</v>
      </c>
      <c r="G6" s="8" t="str" cm="1">
        <f t="array" ref="G6">INVEST("VALUABLE", Table1[[#This Row],[Story]], $A$1)</f>
        <v>FALSE
_x000D_The story lacks specific details on what "additional features" and "higher usage limits" are, making it difficult to verify the outcome through acceptance criteria, tests, or observable results.</v>
      </c>
      <c r="H6" s="8" t="str" cm="1">
        <f t="array" ref="H6">INVEST("ESTIMABLE", Table1[[#This Row],[Story]], $A$1)</f>
        <v>FALSE The story is too vague as it does not specify what "additional features" or "higher usage limits" are, making it difficult to verify the outcome through acceptance criteria, tests, or observable results.</v>
      </c>
      <c r="I6" s="8" t="str" cm="1">
        <f t="array" ref="I6">INVEST("SHORT", Table1[[#This Row],[Story]], $A$1)</f>
        <v>TRUE</v>
      </c>
      <c r="J6" s="8" t="str" cm="1">
        <f t="array" ref="J6">INVEST("TESTABLE", Table1[[#This Row],[Story]], $A$1)</f>
        <v>FALSE 
_x000D_
_x000D_The story is too vague and doesn't specify any measurable outcomes or behaviors that can be verified through tests or observable results. It's difficult to determine what "additional features" or "higher usage limits" actually mean, making it hard to test or verify the outcome.</v>
      </c>
    </row>
    <row r="7" spans="1:10" ht="96" x14ac:dyDescent="0.2">
      <c r="A7" s="7" t="s">
        <v>56</v>
      </c>
      <c r="B7" s="7" t="s">
        <v>53</v>
      </c>
      <c r="C7" s="7" t="s">
        <v>57</v>
      </c>
      <c r="D7" s="8" t="s">
        <v>107</v>
      </c>
      <c r="E7" s="8" t="str" cm="1">
        <f t="array" ref="E7">INVEST("INDEPENDENT", Table1[[#This Row],[Story]], $A$1)</f>
        <v>TRUE</v>
      </c>
      <c r="F7" s="8" t="str" cm="1">
        <f t="array" ref="F7">INVEST("NEGOTIABLE", Table1[[#This Row],[Story]], A5)</f>
        <v>TRUE</v>
      </c>
      <c r="G7" s="8" t="str" cm="1">
        <f t="array" ref="G7">INVEST("VALUABLE", Table1[[#This Row],[Story]], $A$1)</f>
        <v>TRUE</v>
      </c>
      <c r="H7" s="8" t="str" cm="1">
        <f t="array" ref="H7">INVEST("ESTIMABLE", Table1[[#This Row],[Story]], $A$1)</f>
        <v>TRUE</v>
      </c>
      <c r="I7" s="8" t="str" cm="1">
        <f t="array" ref="I7">INVEST("SHORT", Table1[[#This Row],[Story]], $A$1)</f>
        <v>TRUE</v>
      </c>
      <c r="J7" s="8" t="str" cm="1">
        <f t="array" ref="J7">INVEST("TESTABLE", Table1[[#This Row],[Story]], $A$1)</f>
        <v>TRUE</v>
      </c>
    </row>
    <row r="8" spans="1:10" ht="160" x14ac:dyDescent="0.2">
      <c r="A8" s="7" t="s">
        <v>58</v>
      </c>
      <c r="B8" s="7" t="s">
        <v>53</v>
      </c>
      <c r="C8" s="7" t="s">
        <v>59</v>
      </c>
      <c r="D8" s="8" t="s">
        <v>60</v>
      </c>
      <c r="E8" s="8" t="str" cm="1">
        <f t="array" ref="E8">INVEST("INDEPENDENT", Table1[[#This Row],[Story]], $A$1)</f>
        <v>TRUE</v>
      </c>
      <c r="F8" s="8" t="str" cm="1">
        <f t="array" ref="F8">INVEST("NEGOTIABLE", Table1[[#This Row],[Story]], A6)</f>
        <v>TRUE</v>
      </c>
      <c r="G8" s="8" t="str" cm="1">
        <f t="array" ref="G8">INVEST("VALUABLE", Table1[[#This Row],[Story]], $A$1)</f>
        <v>TRUE</v>
      </c>
      <c r="H8" s="8" t="str" cm="1">
        <f t="array" ref="H8">INVEST("ESTIMABLE", Table1[[#This Row],[Story]], $A$1)</f>
        <v>TRUE</v>
      </c>
      <c r="I8" s="8" t="str" cm="1">
        <f t="array" ref="I8">INVEST("SHORT", Table1[[#This Row],[Story]], $A$1)</f>
        <v>TRUE</v>
      </c>
      <c r="J8" s="8" t="str" cm="1">
        <f t="array" ref="J8">INVEST("TESTABLE", Table1[[#This Row],[Story]], $A$1)</f>
        <v>FALSE
_x000D_The story lacks specific acceptance criteria or observable results to verify the cancellation of a subscription and the absence of further billing.</v>
      </c>
    </row>
    <row r="9" spans="1:10" ht="169" customHeight="1" x14ac:dyDescent="0.2">
      <c r="A9" s="7" t="s">
        <v>61</v>
      </c>
      <c r="B9" s="7" t="s">
        <v>53</v>
      </c>
      <c r="C9" s="7" t="s">
        <v>62</v>
      </c>
      <c r="D9" s="8" t="s">
        <v>63</v>
      </c>
      <c r="E9" s="8" t="str" cm="1">
        <f t="array" ref="E9">INVEST("INDEPENDENT", Table1[[#This Row],[Story]], $A$1)</f>
        <v>TRUE</v>
      </c>
      <c r="F9" s="8" t="str" cm="1">
        <f t="array" ref="F9">INVEST("NEGOTIABLE", Table1[[#This Row],[Story]], A7)</f>
        <v>TRUE</v>
      </c>
      <c r="G9" s="8" t="str" cm="1">
        <f t="array" ref="G9">INVEST("VALUABLE", Table1[[#This Row],[Story]], $A$1)</f>
        <v>TRUE</v>
      </c>
      <c r="H9" s="8" t="str" cm="1">
        <f t="array" ref="H9">INVEST("ESTIMABLE", Table1[[#This Row],[Story]], $A$1)</f>
        <v>TRUE</v>
      </c>
      <c r="I9" s="8" t="str" cm="1">
        <f t="array" ref="I9">INVEST("SHORT", Table1[[#This Row],[Story]], $A$1)</f>
        <v>TRUE</v>
      </c>
      <c r="J9" s="8" t="str" cm="1">
        <f t="array" ref="J9">INVEST("TESTABLE", Table1[[#This Row],[Story]], $A$1)</f>
        <v>TRUE</v>
      </c>
    </row>
    <row r="10" spans="1:10" ht="151" customHeight="1" x14ac:dyDescent="0.2">
      <c r="A10" s="7" t="s">
        <v>64</v>
      </c>
      <c r="B10" s="7" t="s">
        <v>65</v>
      </c>
      <c r="C10" s="7" t="s">
        <v>66</v>
      </c>
      <c r="D10" s="8" t="s">
        <v>67</v>
      </c>
      <c r="E10" s="8" t="str" cm="1">
        <f t="array" ref="E10">INVEST("INDEPENDENT", Table1[[#This Row],[Story]], $A$1)</f>
        <v>TRUE</v>
      </c>
      <c r="F10" s="8" t="str" cm="1">
        <f t="array" ref="F10">INVEST("NEGOTIABLE", Table1[[#This Row],[Story]], A8)</f>
        <v>TRUE</v>
      </c>
      <c r="G10" s="8" t="str" cm="1">
        <f t="array" ref="G10">INVEST("VALUABLE", Table1[[#This Row],[Story]], $A$1)</f>
        <v>TRUE</v>
      </c>
      <c r="H10" s="8" t="str" cm="1">
        <f t="array" ref="H10">INVEST("ESTIMABLE", Table1[[#This Row],[Story]], $A$1)</f>
        <v>TRUE</v>
      </c>
      <c r="I10" s="8" t="str" cm="1">
        <f t="array" ref="I10">INVEST("SHORT", Table1[[#This Row],[Story]], $A$1)</f>
        <v>TRUE</v>
      </c>
      <c r="J10" s="8" t="str" cm="1">
        <f t="array" ref="J10">INVEST("TESTABLE", Table1[[#This Row],[Story]], $A$1)</f>
        <v>TRUE</v>
      </c>
    </row>
    <row r="11" spans="1:10" ht="48" x14ac:dyDescent="0.2">
      <c r="A11" s="7" t="s">
        <v>68</v>
      </c>
      <c r="B11" s="7" t="s">
        <v>65</v>
      </c>
      <c r="C11" s="7" t="s">
        <v>69</v>
      </c>
      <c r="D11" s="8" t="s">
        <v>109</v>
      </c>
      <c r="E11" s="8" t="str" cm="1">
        <f t="array" ref="E11">INVEST("INDEPENDENT", Table1[[#This Row],[Story]], $A$1)</f>
        <v>TRUE</v>
      </c>
      <c r="F11" s="8" t="str" cm="1">
        <f t="array" ref="F11">INVEST("NEGOTIABLE", Table1[[#This Row],[Story]], A9)</f>
        <v>TRUE</v>
      </c>
      <c r="G11" s="8" t="str" cm="1">
        <f t="array" ref="G11">INVEST("VALUABLE", Table1[[#This Row],[Story]], $A$1)</f>
        <v>TRUE</v>
      </c>
      <c r="H11" s="8" t="str" cm="1">
        <f t="array" ref="H11">INVEST("ESTIMABLE", Table1[[#This Row],[Story]], $A$1)</f>
        <v>TRUE</v>
      </c>
      <c r="I11" s="8" t="str" cm="1">
        <f t="array" ref="I11">INVEST("SHORT", Table1[[#This Row],[Story]], $A$1)</f>
        <v>TRUE</v>
      </c>
      <c r="J11" s="8" t="str" cm="1">
        <f t="array" ref="J11">INVEST("TESTABLE", Table1[[#This Row],[Story]], $A$1)</f>
        <v>TRUE</v>
      </c>
    </row>
    <row r="12" spans="1:10" ht="144" x14ac:dyDescent="0.2">
      <c r="A12" s="7" t="s">
        <v>70</v>
      </c>
      <c r="B12" s="7" t="s">
        <v>65</v>
      </c>
      <c r="C12" s="7" t="s">
        <v>71</v>
      </c>
      <c r="D12" s="8" t="s">
        <v>72</v>
      </c>
      <c r="E12" s="8" t="str" cm="1">
        <f t="array" ref="E12">INVEST("INDEPENDENT", Table1[[#This Row],[Story]], $A$1)</f>
        <v>TRUE</v>
      </c>
      <c r="F12" s="8" t="str" cm="1">
        <f t="array" ref="F12">INVEST("NEGOTIABLE", Table1[[#This Row],[Story]], A10)</f>
        <v>TRUE</v>
      </c>
      <c r="G12" s="8" t="str" cm="1">
        <f t="array" ref="G12">INVEST("VALUABLE", Table1[[#This Row],[Story]], $A$1)</f>
        <v>TRUE</v>
      </c>
      <c r="H12" s="8" t="str" cm="1">
        <f t="array" ref="H12">INVEST("ESTIMABLE", Table1[[#This Row],[Story]], $A$1)</f>
        <v>TRUE</v>
      </c>
      <c r="I12" s="8" t="str" cm="1">
        <f t="array" ref="I12">INVEST("SHORT", Table1[[#This Row],[Story]], $A$1)</f>
        <v>TRUE</v>
      </c>
      <c r="J12" s="8" t="str" cm="1">
        <f t="array" ref="J12">INVEST("TESTABLE", Table1[[#This Row],[Story]], $A$1)</f>
        <v>TRUE</v>
      </c>
    </row>
    <row r="13" spans="1:10" ht="159" customHeight="1" x14ac:dyDescent="0.2">
      <c r="A13" s="7" t="s">
        <v>73</v>
      </c>
      <c r="B13" s="7" t="s">
        <v>74</v>
      </c>
      <c r="C13" s="7" t="s">
        <v>75</v>
      </c>
      <c r="D13" s="8" t="s">
        <v>76</v>
      </c>
      <c r="E13" s="8" t="str" cm="1">
        <f t="array" ref="E13">INVEST("INDEPENDENT", Table1[[#This Row],[Story]], $A$1)</f>
        <v>TRUE</v>
      </c>
      <c r="F13" s="8" t="str" cm="1">
        <f t="array" ref="F13">INVEST("NEGOTIABLE", Table1[[#This Row],[Story]], A11)</f>
        <v>TRUE</v>
      </c>
      <c r="G13" s="8" t="str" cm="1">
        <f t="array" ref="G13">INVEST("VALUABLE", Table1[[#This Row],[Story]], $A$1)</f>
        <v>TRUE</v>
      </c>
      <c r="H13" s="8" t="str" cm="1">
        <f t="array" ref="H13">INVEST("ESTIMABLE", Table1[[#This Row],[Story]], $A$1)</f>
        <v>TRUE</v>
      </c>
      <c r="I13" s="8" t="str" cm="1">
        <f t="array" ref="I13">INVEST("SHORT", Table1[[#This Row],[Story]], $A$1)</f>
        <v>TRUE</v>
      </c>
      <c r="J13" s="8" t="str" cm="1">
        <f t="array" ref="J13">INVEST("TESTABLE", Table1[[#This Row],[Story]], $A$1)</f>
        <v>TRUE</v>
      </c>
    </row>
    <row r="14" spans="1:10" ht="177" customHeight="1" x14ac:dyDescent="0.2">
      <c r="A14" s="7" t="s">
        <v>77</v>
      </c>
      <c r="B14" s="7" t="s">
        <v>74</v>
      </c>
      <c r="C14" s="7" t="s">
        <v>78</v>
      </c>
      <c r="D14" s="8" t="s">
        <v>79</v>
      </c>
      <c r="E14" s="8" t="str" cm="1">
        <f t="array" ref="E14">INVEST("INDEPENDENT", Table1[[#This Row],[Story]], $A$1)</f>
        <v>TRUE</v>
      </c>
      <c r="F14" s="8" t="str" cm="1">
        <f t="array" ref="F14">INVEST("NEGOTIABLE", Table1[[#This Row],[Story]], A12)</f>
        <v>TRUE</v>
      </c>
      <c r="G14" s="8" t="str" cm="1">
        <f t="array" ref="G14">INVEST("VALUABLE", Table1[[#This Row],[Story]], $A$1)</f>
        <v>TRUE</v>
      </c>
      <c r="H14" s="8" t="str" cm="1">
        <f t="array" ref="H14">INVEST("ESTIMABLE", Table1[[#This Row],[Story]], $A$1)</f>
        <v>TRUE</v>
      </c>
      <c r="I14" s="8" t="str" cm="1">
        <f t="array" ref="I14">INVEST("SHORT", Table1[[#This Row],[Story]], $A$1)</f>
        <v>TRUE</v>
      </c>
      <c r="J14" s="8" t="str" cm="1">
        <f t="array" ref="J14">INVEST("TESTABLE", Table1[[#This Row],[Story]], $A$1)</f>
        <v>TRUE</v>
      </c>
    </row>
    <row r="15" spans="1:10" ht="199" customHeight="1" x14ac:dyDescent="0.2">
      <c r="A15" s="7" t="s">
        <v>80</v>
      </c>
      <c r="B15" s="7" t="s">
        <v>74</v>
      </c>
      <c r="C15" s="7" t="s">
        <v>81</v>
      </c>
      <c r="D15" s="8" t="s">
        <v>82</v>
      </c>
      <c r="E15" s="8" t="str" cm="1">
        <f t="array" ref="E15">INVEST("INDEPENDENT", Table1[[#This Row],[Story]], $A$1)</f>
        <v>FALSE
_x000D_The story's outcome is subjective ("access aligns with our organization's subscription"), making it difficult to verify through acceptance criteria or tests.</v>
      </c>
      <c r="F15" s="8" t="str" cm="1">
        <f t="array" ref="F15">INVEST("NEGOTIABLE", Table1[[#This Row],[Story]], A13)</f>
        <v>TRUE</v>
      </c>
      <c r="G15" s="8" t="str" cm="1">
        <f t="array" ref="G15">INVEST("VALUABLE", Table1[[#This Row],[Story]], $A$1)</f>
        <v>FALSE The story lacks specific outcomes or measurable behaviors to verify, instead relying on vague notions of "alignment" and subscription plans.</v>
      </c>
      <c r="H15" s="8" t="str" cm="1">
        <f t="array" ref="H15">INVEST("ESTIMABLE", Table1[[#This Row],[Story]], $A$1)</f>
        <v>TRUE</v>
      </c>
      <c r="I15" s="8" t="str" cm="1">
        <f t="array" ref="I15">INVEST("SHORT", Table1[[#This Row],[Story]], $A$1)</f>
        <v>FALSE
_x000D_
_x000D_The story is too open-ended and lacks specific outcomes or observable results to verify its completeness through acceptance criteria, tests, or measurable behavior. It relies heavily on vague terms like "access aligns" without defining what that means in concrete terms.</v>
      </c>
      <c r="J15" s="8" t="str" cm="1">
        <f t="array" ref="J15">INVEST("TESTABLE", Table1[[#This Row],[Story]], $A$1)</f>
        <v>FALSE
_x000D_
_x000D_This story is too vague and does not specify any measurable behaviors or outcomes that can be tested. The outcome "access aligns with our organization's subscription" is subjective and cannot be verified through acceptance criteria, tests, or observable results.</v>
      </c>
    </row>
    <row r="16" spans="1:10" ht="168" customHeight="1" x14ac:dyDescent="0.2">
      <c r="A16" s="7" t="s">
        <v>83</v>
      </c>
      <c r="B16" s="7" t="s">
        <v>84</v>
      </c>
      <c r="C16" s="7" t="s">
        <v>85</v>
      </c>
      <c r="D16" s="8" t="s">
        <v>86</v>
      </c>
      <c r="E16" s="8" t="str" cm="1">
        <f t="array" ref="E16">INVEST("INDEPENDENT", Table1[[#This Row],[Story]], $A$1)</f>
        <v>TRUE</v>
      </c>
      <c r="F16" s="8" t="str" cm="1">
        <f t="array" ref="F16">INVEST("NEGOTIABLE", Table1[[#This Row],[Story]], A14)</f>
        <v>TRUE</v>
      </c>
      <c r="G16" s="8" t="str" cm="1">
        <f t="array" ref="G16">INVEST("VALUABLE", Table1[[#This Row],[Story]], $A$1)</f>
        <v>TRUE</v>
      </c>
      <c r="H16" s="8" t="str" cm="1">
        <f t="array" ref="H16">INVEST("ESTIMABLE", Table1[[#This Row],[Story]], $A$1)</f>
        <v>TRUE</v>
      </c>
      <c r="I16" s="8" t="str" cm="1">
        <f t="array" ref="I16">INVEST("SHORT", Table1[[#This Row],[Story]], $A$1)</f>
        <v>TRUE</v>
      </c>
      <c r="J16" s="8" t="str" cm="1">
        <f t="array" ref="J16">INVEST("TESTABLE", Table1[[#This Row],[Story]], $A$1)</f>
        <v>TRUE</v>
      </c>
    </row>
    <row r="17" spans="1:10" ht="112" x14ac:dyDescent="0.2">
      <c r="A17" s="7" t="s">
        <v>87</v>
      </c>
      <c r="B17" s="7" t="s">
        <v>84</v>
      </c>
      <c r="C17" s="7" t="s">
        <v>88</v>
      </c>
      <c r="D17" s="8" t="s">
        <v>89</v>
      </c>
      <c r="E17" s="8" t="str" cm="1">
        <f t="array" ref="E17">INVEST("INDEPENDENT", Table1[[#This Row],[Story]], $A$1)</f>
        <v>TRUE</v>
      </c>
      <c r="F17" s="8" t="str" cm="1">
        <f t="array" ref="F17">INVEST("NEGOTIABLE", Table1[[#This Row],[Story]], A15)</f>
        <v>TRUE</v>
      </c>
      <c r="G17" s="8" t="str" cm="1">
        <f t="array" ref="G17">INVEST("VALUABLE", Table1[[#This Row],[Story]], $A$1)</f>
        <v>TRUE</v>
      </c>
      <c r="H17" s="8" t="str" cm="1">
        <f t="array" ref="H17">INVEST("ESTIMABLE", Table1[[#This Row],[Story]], $A$1)</f>
        <v>TRUE</v>
      </c>
      <c r="I17" s="8" t="str" cm="1">
        <f t="array" ref="I17">INVEST("SHORT", Table1[[#This Row],[Story]], $A$1)</f>
        <v>TRUE</v>
      </c>
      <c r="J17" s="8" t="str" cm="1">
        <f t="array" ref="J17">INVEST("TESTABLE", Table1[[#This Row],[Story]], $A$1)</f>
        <v>TRUE</v>
      </c>
    </row>
    <row r="18" spans="1:10" ht="144" x14ac:dyDescent="0.2">
      <c r="A18" s="7" t="s">
        <v>90</v>
      </c>
      <c r="B18" s="7" t="s">
        <v>91</v>
      </c>
      <c r="C18" s="7" t="s">
        <v>92</v>
      </c>
      <c r="D18" s="8" t="s">
        <v>93</v>
      </c>
      <c r="E18" s="8" t="str" cm="1">
        <f t="array" ref="E18">INVEST("INDEPENDENT", Table1[[#This Row],[Story]], $A$1)</f>
        <v>TRUE</v>
      </c>
      <c r="F18" s="8" t="str" cm="1">
        <f t="array" ref="F18">INVEST("NEGOTIABLE", Table1[[#This Row],[Story]], A16)</f>
        <v>TRUE</v>
      </c>
      <c r="G18" s="8" t="str" cm="1">
        <f t="array" ref="G18">INVEST("VALUABLE", Table1[[#This Row],[Story]], $A$1)</f>
        <v>TRUE</v>
      </c>
      <c r="H18" s="8" t="str" cm="1">
        <f t="array" ref="H18">INVEST("ESTIMABLE", Table1[[#This Row],[Story]], $A$1)</f>
        <v>TRUE</v>
      </c>
      <c r="I18" s="8" t="str" cm="1">
        <f t="array" ref="I18">INVEST("SHORT", Table1[[#This Row],[Story]], $A$1)</f>
        <v>TRUE</v>
      </c>
      <c r="J18" s="8" t="str" cm="1">
        <f t="array" ref="J18">INVEST("TESTABLE", Table1[[#This Row],[Story]], $A$1)</f>
        <v>TRUE</v>
      </c>
    </row>
    <row r="19" spans="1:10" ht="171" customHeight="1" x14ac:dyDescent="0.2">
      <c r="A19" s="7" t="s">
        <v>94</v>
      </c>
      <c r="B19" s="7" t="s">
        <v>91</v>
      </c>
      <c r="C19" s="7" t="s">
        <v>95</v>
      </c>
      <c r="D19" s="8" t="s">
        <v>96</v>
      </c>
      <c r="E19" s="8" t="str" cm="1">
        <f t="array" ref="E19">INVEST("INDEPENDENT", Table1[[#This Row],[Story]], $A$1)</f>
        <v>TRUE</v>
      </c>
      <c r="F19" s="8" t="str" cm="1">
        <f t="array" ref="F19">INVEST("NEGOTIABLE", Table1[[#This Row],[Story]], A17)</f>
        <v>TRUE</v>
      </c>
      <c r="G19" s="8" t="str" cm="1">
        <f t="array" ref="G19">INVEST("VALUABLE", Table1[[#This Row],[Story]], $A$1)</f>
        <v>TRUE</v>
      </c>
      <c r="H19" s="8" t="str" cm="1">
        <f t="array" ref="H19">INVEST("ESTIMABLE", Table1[[#This Row],[Story]], $A$1)</f>
        <v>TRUE</v>
      </c>
      <c r="I19" s="8" t="str" cm="1">
        <f t="array" ref="I19">INVEST("SHORT", Table1[[#This Row],[Story]], $A$1)</f>
        <v>TRUE</v>
      </c>
      <c r="J19" s="8" t="str" cm="1">
        <f t="array" ref="J19">INVEST("TESTABLE", Table1[[#This Row],[Story]], $A$1)</f>
        <v>TRUE</v>
      </c>
    </row>
    <row r="20" spans="1:10" ht="133" customHeight="1" x14ac:dyDescent="0.2">
      <c r="A20" s="7" t="s">
        <v>97</v>
      </c>
      <c r="B20" s="7" t="s">
        <v>91</v>
      </c>
      <c r="C20" s="7" t="s">
        <v>98</v>
      </c>
      <c r="D20" s="8" t="s">
        <v>99</v>
      </c>
      <c r="E20" s="8" t="str" cm="1">
        <f t="array" ref="E20">INVEST("INDEPENDENT", Table1[[#This Row],[Story]], $A$1)</f>
        <v>TRUE</v>
      </c>
      <c r="F20" s="8" t="str" cm="1">
        <f t="array" ref="F20">INVEST("NEGOTIABLE", Table1[[#This Row],[Story]], A18)</f>
        <v>TRUE</v>
      </c>
      <c r="G20" s="8" t="str" cm="1">
        <f t="array" ref="G20">INVEST("VALUABLE", Table1[[#This Row],[Story]], $A$1)</f>
        <v>TRUE</v>
      </c>
      <c r="H20" s="8" t="str" cm="1">
        <f t="array" ref="H20">INVEST("ESTIMABLE", Table1[[#This Row],[Story]], $A$1)</f>
        <v>TRUE</v>
      </c>
      <c r="I20" s="8" t="str" cm="1">
        <f t="array" ref="I20">INVEST("SHORT", Table1[[#This Row],[Story]], $A$1)</f>
        <v>TRUE</v>
      </c>
      <c r="J20" s="8" t="str" cm="1">
        <f t="array" ref="J20">INVEST("TESTABLE", Table1[[#This Row],[Story]], $A$1)</f>
        <v>TRUE</v>
      </c>
    </row>
    <row r="21" spans="1:10" ht="175" customHeight="1" x14ac:dyDescent="0.2">
      <c r="A21" s="7" t="s">
        <v>100</v>
      </c>
      <c r="B21" s="7" t="s">
        <v>101</v>
      </c>
      <c r="C21" s="7" t="s">
        <v>102</v>
      </c>
      <c r="D21" s="8" t="s">
        <v>103</v>
      </c>
      <c r="E21" s="8" t="str" cm="1">
        <f t="array" ref="E21">INVEST("INDEPENDENT", Table1[[#This Row],[Story]], $A$1)</f>
        <v>TRUE</v>
      </c>
      <c r="F21" s="8" t="str" cm="1">
        <f t="array" ref="F21">INVEST("NEGOTIABLE", Table1[[#This Row],[Story]], A19)</f>
        <v>TRUE</v>
      </c>
      <c r="G21" s="8" t="str" cm="1">
        <f t="array" ref="G21">INVEST("VALUABLE", Table1[[#This Row],[Story]], $A$1)</f>
        <v>TRUE</v>
      </c>
      <c r="H21" s="8" t="str" cm="1">
        <f t="array" ref="H21">INVEST("ESTIMABLE", Table1[[#This Row],[Story]], $A$1)</f>
        <v>TRUE</v>
      </c>
      <c r="I21" s="8" t="str" cm="1">
        <f t="array" ref="I21">INVEST("SHORT", Table1[[#This Row],[Story]], $A$1)</f>
        <v>FALSE
_x000D_
_x000D_The story lacks measurable behavior or outcomes that can be verified through acceptance criteria, tests, or observable results. The desired outcome is subjective ("stay compliant") and does not provide a clear understanding of what "compliance" means in this context.</v>
      </c>
      <c r="J21" s="8" t="str" cm="1">
        <f t="array" ref="J21">INVEST("TESTABLE", Table1[[#This Row],[Story]], $A$1)</f>
        <v>TRUE</v>
      </c>
    </row>
    <row r="22" spans="1:10" ht="177" customHeight="1" x14ac:dyDescent="0.2">
      <c r="A22" s="7" t="s">
        <v>104</v>
      </c>
      <c r="B22" s="7" t="s">
        <v>101</v>
      </c>
      <c r="C22" s="7" t="s">
        <v>105</v>
      </c>
      <c r="D22" s="8" t="s">
        <v>106</v>
      </c>
      <c r="E22" s="8" t="str" cm="1">
        <f t="array" ref="E22">INVEST("INDEPENDENT", Table1[[#This Row],[Story]], $A$1)</f>
        <v>TRUE</v>
      </c>
      <c r="F22" s="8" t="str" cm="1">
        <f t="array" ref="F22">INVEST("NEGOTIABLE", Table1[[#This Row],[Story]], A20)</f>
        <v>TRUE</v>
      </c>
      <c r="G22" s="8" t="str" cm="1">
        <f t="array" ref="G22">INVEST("VALUABLE", Table1[[#This Row],[Story]], $A$1)</f>
        <v>TRUE</v>
      </c>
      <c r="H22" s="8" t="str" cm="1">
        <f t="array" ref="H22">INVEST("ESTIMABLE", Table1[[#This Row],[Story]], $A$1)</f>
        <v>FALSE
_x000D_
_x000D_The story does not provide any clear or measurable outcomes that can be verified through acceptance criteria, tests, or observable results. The phrase "invoices meet compliance requirements" is too vague to determine whether the story meets the ESTIMABLE criterion.</v>
      </c>
      <c r="I22" s="8" t="str" cm="1">
        <f t="array" ref="I22">INVEST("SHORT", Table1[[#This Row],[Story]], $A$1)</f>
        <v>FALSE
_x000D_The story does not provide any specific outcomes or behaviors that can be verified through acceptance criteria, tests, or observable results, making it too vague.</v>
      </c>
      <c r="J22" s="8" t="str" cm="1">
        <f t="array" ref="J22">INVEST("TESTABLE", Table1[[#This Row],[Story]], $A$1)</f>
        <v>FALSE
_x000D_The story does not specify any specific outcomes or behaviors that can be verified through acceptance criteria, tests, or observable results. It only mentions that invoices "meet compliance requirements", which is a vague outcome.</v>
      </c>
    </row>
  </sheetData>
  <conditionalFormatting sqref="E3:J22">
    <cfRule type="notContainsText" dxfId="11" priority="1" operator="notContains" text="TRUE">
      <formula>ISERROR(SEARCH("TRUE",E3))</formula>
    </cfRule>
  </conditionalFormatting>
  <pageMargins left="0.7" right="0.7" top="0.75" bottom="0.75" header="0.3" footer="0.3"/>
  <pageSetup paperSize="9" orientation="portrait" horizontalDpi="0" verticalDpi="0"/>
  <tableParts count="1">
    <tablePart r:id="rId1"/>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6D1902-E1E5-FC4A-9C1E-E55E20F84FC2}">
  <sheetPr codeName="Sheet8"/>
  <dimension ref="A1:A53"/>
  <sheetViews>
    <sheetView zoomScale="150" zoomScaleNormal="150" workbookViewId="0"/>
  </sheetViews>
  <sheetFormatPr baseColWidth="10" defaultColWidth="8.83203125" defaultRowHeight="15" x14ac:dyDescent="0.2"/>
  <cols>
    <col min="1" max="1" width="100" customWidth="1"/>
  </cols>
  <sheetData>
    <row r="1" spans="1:1" ht="25" x14ac:dyDescent="0.2">
      <c r="A1" s="6" t="s">
        <v>25</v>
      </c>
    </row>
    <row r="3" spans="1:1" ht="96" x14ac:dyDescent="0.2">
      <c r="A3" s="3" t="s">
        <v>32</v>
      </c>
    </row>
    <row r="5" spans="1:1" ht="20" x14ac:dyDescent="0.2">
      <c r="A5" s="2" t="s">
        <v>0</v>
      </c>
    </row>
    <row r="7" spans="1:1" ht="16" x14ac:dyDescent="0.2">
      <c r="A7" s="1" t="s">
        <v>24</v>
      </c>
    </row>
    <row r="8" spans="1:1" ht="16" x14ac:dyDescent="0.2">
      <c r="A8" s="1" t="s">
        <v>23</v>
      </c>
    </row>
    <row r="9" spans="1:1" ht="16" x14ac:dyDescent="0.2">
      <c r="A9" s="1" t="s">
        <v>22</v>
      </c>
    </row>
    <row r="10" spans="1:1" ht="16" x14ac:dyDescent="0.2">
      <c r="A10" s="1" t="s">
        <v>21</v>
      </c>
    </row>
    <row r="11" spans="1:1" ht="16" x14ac:dyDescent="0.2">
      <c r="A11" s="1" t="s">
        <v>20</v>
      </c>
    </row>
    <row r="12" spans="1:1" ht="16" x14ac:dyDescent="0.2">
      <c r="A12" s="1" t="s">
        <v>19</v>
      </c>
    </row>
    <row r="14" spans="1:1" ht="20" x14ac:dyDescent="0.2">
      <c r="A14" s="2" t="s">
        <v>18</v>
      </c>
    </row>
    <row r="16" spans="1:1" ht="17" x14ac:dyDescent="0.2">
      <c r="A16" s="4" t="s">
        <v>17</v>
      </c>
    </row>
    <row r="17" spans="1:1" ht="16" x14ac:dyDescent="0.2">
      <c r="A17" s="3" t="s">
        <v>16</v>
      </c>
    </row>
    <row r="19" spans="1:1" ht="16" x14ac:dyDescent="0.2">
      <c r="A19" s="1" t="s">
        <v>15</v>
      </c>
    </row>
    <row r="20" spans="1:1" ht="16" x14ac:dyDescent="0.2">
      <c r="A20" s="5" t="s">
        <v>14</v>
      </c>
    </row>
    <row r="21" spans="1:1" ht="16" x14ac:dyDescent="0.2">
      <c r="A21" s="5" t="s">
        <v>13</v>
      </c>
    </row>
    <row r="22" spans="1:1" ht="16" x14ac:dyDescent="0.2">
      <c r="A22" s="5" t="s">
        <v>12</v>
      </c>
    </row>
    <row r="24" spans="1:1" ht="16" x14ac:dyDescent="0.2">
      <c r="A24" s="1" t="s">
        <v>26</v>
      </c>
    </row>
    <row r="25" spans="1:1" ht="16" x14ac:dyDescent="0.2">
      <c r="A25" s="5" t="str">
        <f>OLLAMA("Summarize this in 3 words", A1:A10)</f>
        <v>Excel Ollama Integration</v>
      </c>
    </row>
    <row r="26" spans="1:1" ht="16" x14ac:dyDescent="0.2">
      <c r="A26" s="5" t="str">
        <f>OLLAMA("What is the capital of France?")</f>
        <v>The capital of France is Paris.</v>
      </c>
    </row>
    <row r="27" spans="1:1" ht="409.6" x14ac:dyDescent="0.2">
      <c r="A27" s="5" t="str">
        <f>OLLAMA("Explain quantum computing", , "llama2")</f>
        <v xml:space="preserve">
_x000D_Quantum computing is a new and emerging field that combines two major areas of science: quantum mechanics and computing. Quantum mechanics is the branch of physics that describes the behavior of matter and energy at the atomic and subatomic level, while computing refers to the processing of information using machines. Quantum computing leverages the unique properties of quantum systems to perform calculations and operations that are beyond the capabilities of classical computers.
_x000D_
_x000D_In a classical computer, information is processed using bits, which can have a value of either 0 or 1. However, in a quantum computer, information is processed using qubits, which can exist in multiple states simultaneously (superposition). This property allows quantum computers to perform certain calculations much faster than classical computers, especially when dealing with large amounts of data.
_x000D_
_x000D_Quantum computing has several key features that make it different from classical computing:
_x000D_
_x000D_1. Quantum parallelism: Quantum computers can perform many calculations simultaneously, thanks to the ability of qubits to exist in a superposition of states. This allows quantum computers to solve complex problems much faster than classical computers.
_x000D_2. Quantum interference: Quantum computers can use quantum interference to detect and correct errors that occur during the computation process. This property makes quantum computers more robust and reliable than classical computers.
_x000D_3. Quantum entanglement: Quantum computers can use entangled qubits to perform calculations that are beyond the capabilities of classical computers. Entangled qubits are particles that are connected in such a way that their states are correlated, regardless of the distance between them.
_x000D_4. Quantum teleportation: Quantum computers can use quantum teleportation to transfer information from one location to another without physical movement. This property makes quantum computing particularly useful for distributed computing applications.
_x000D_
_x000D_Quantum computing has many potential applications, including:
_x000D_
_x000D_1. Cryptography: Quantum computers can break many classical encryption algorithms, but they can also be used to create new, quantum-resistant encryption methods.
_x000D_2. Optimization: Quantum computers can solve certain optimization problems much faster than classical computers, which has implications for fields such as logistics and finance.
_x000D_3. Machine learning: Quantum computers can perform machine learning tasks more efficiently than classical computers, particularly in cases where the data is too large to fit into the memory of a classical computer.
_x000D_4. Simulation: Quantum computers can simulate complex quantum systems much better than classical computers, which has implications for fields such as chemistry and materials science.
_x000D_5. Drug discovery: Quantum computers can perform simulations of protein folding and drug interactions more efficiently than classical computers, which could lead to new discoveries in the field of drug development.
_x000D_
_x000D_While quantum computing is still in its early stages, it has the potential to revolutionize many fields of study and industry. However, it also poses significant challenges, such as the need for high-quality qubits and the development of practical algorithms for solving real-world problems.</v>
      </c>
    </row>
    <row r="28" spans="1:1" ht="16" x14ac:dyDescent="0.2">
      <c r="A28" s="5" t="str">
        <f>OLLAMA("Translate to Spanish: Hello", A1, "mistral")</f>
        <v>Is Ollama installed and running mistral? https://ollama.com. Error: 404 - {"error":"model 'mistral' not found"}</v>
      </c>
    </row>
    <row r="30" spans="1:1" ht="17" x14ac:dyDescent="0.2">
      <c r="A30" s="4" t="s">
        <v>11</v>
      </c>
    </row>
    <row r="31" spans="1:1" ht="16" x14ac:dyDescent="0.2">
      <c r="A31" s="3" t="s">
        <v>10</v>
      </c>
    </row>
    <row r="33" spans="1:1" ht="20" x14ac:dyDescent="0.2">
      <c r="A33" s="2" t="s">
        <v>9</v>
      </c>
    </row>
    <row r="35" spans="1:1" ht="16" x14ac:dyDescent="0.2">
      <c r="A35" s="1" t="s">
        <v>8</v>
      </c>
    </row>
    <row r="36" spans="1:1" ht="16" x14ac:dyDescent="0.2">
      <c r="A36" s="1" t="s">
        <v>7</v>
      </c>
    </row>
    <row r="37" spans="1:1" ht="16" x14ac:dyDescent="0.2">
      <c r="A37" s="1" t="s">
        <v>34</v>
      </c>
    </row>
    <row r="39" spans="1:1" ht="20" x14ac:dyDescent="0.2">
      <c r="A39" s="2" t="s">
        <v>6</v>
      </c>
    </row>
    <row r="41" spans="1:1" ht="16" x14ac:dyDescent="0.2">
      <c r="A41" s="1" t="s">
        <v>5</v>
      </c>
    </row>
    <row r="42" spans="1:1" ht="16" x14ac:dyDescent="0.2">
      <c r="A42" s="1" t="s">
        <v>27</v>
      </c>
    </row>
    <row r="43" spans="1:1" ht="32" x14ac:dyDescent="0.2">
      <c r="A43" s="1" t="s">
        <v>28</v>
      </c>
    </row>
    <row r="44" spans="1:1" ht="16" x14ac:dyDescent="0.2">
      <c r="A44" s="1" t="s">
        <v>29</v>
      </c>
    </row>
    <row r="45" spans="1:1" ht="16" x14ac:dyDescent="0.2">
      <c r="A45" s="1" t="s">
        <v>30</v>
      </c>
    </row>
    <row r="46" spans="1:1" ht="16" x14ac:dyDescent="0.2">
      <c r="A46" s="1" t="s">
        <v>31</v>
      </c>
    </row>
    <row r="48" spans="1:1" ht="20" x14ac:dyDescent="0.2">
      <c r="A48" s="2" t="s">
        <v>4</v>
      </c>
    </row>
    <row r="50" spans="1:1" ht="16" x14ac:dyDescent="0.2">
      <c r="A50" s="1" t="s">
        <v>3</v>
      </c>
    </row>
    <row r="51" spans="1:1" ht="32" x14ac:dyDescent="0.2">
      <c r="A51" s="1" t="s">
        <v>33</v>
      </c>
    </row>
    <row r="52" spans="1:1" ht="16" x14ac:dyDescent="0.2">
      <c r="A52" s="1" t="s">
        <v>2</v>
      </c>
    </row>
    <row r="53" spans="1:1" ht="16" x14ac:dyDescent="0.2">
      <c r="A53" s="1" t="s">
        <v>1</v>
      </c>
    </row>
  </sheetData>
  <pageMargins left="0.75" right="0.75" top="1" bottom="1" header="0.5" footer="0.5"/>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2</vt:i4>
      </vt:variant>
    </vt:vector>
  </HeadingPairs>
  <TitlesOfParts>
    <vt:vector size="2" baseType="lpstr">
      <vt:lpstr>User Stories</vt:lpstr>
      <vt:lpstr>README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Tim Hall</dc:creator>
  <cp:lastModifiedBy>David Griffiths</cp:lastModifiedBy>
  <dcterms:created xsi:type="dcterms:W3CDTF">2011-08-25T14:29:57Z</dcterms:created>
  <dcterms:modified xsi:type="dcterms:W3CDTF">2025-11-16T11:04:43Z</dcterms:modified>
</cp:coreProperties>
</file>